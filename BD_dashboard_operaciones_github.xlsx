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KPIs_HTML" sheetId="2" r:id="rId5"/>
    <sheet state="visible" name="LIMPIEZA_COBERTURA" sheetId="3" r:id="rId6"/>
    <sheet state="visible" name="LIMPIEZA_PRESUPUESTO" sheetId="4" r:id="rId7"/>
    <sheet state="visible" name="AULA911_CAMPUS" sheetId="5" r:id="rId8"/>
    <sheet state="visible" name="AULA911_TOP" sheetId="6" r:id="rId9"/>
    <sheet state="visible" name="RONDAS" sheetId="7" r:id="rId10"/>
    <sheet state="visible" name="PROYECTOS" sheetId="8" r:id="rId11"/>
    <sheet state="visible" name="MEJORAS_PROGRAMACION" sheetId="9" r:id="rId12"/>
    <sheet state="visible" name="MEJORAS_ESTADO" sheetId="10" r:id="rId13"/>
    <sheet state="visible" name="LISTO" sheetId="11" r:id="rId14"/>
    <sheet state="visible" name="CONFIG_HTML" sheetId="12" r:id="rId15"/>
  </sheets>
  <definedNames>
    <definedName hidden="1" localSheetId="1" name="_xlnm._FilterDatabase">KPIs_HTML!$A$1:$D$26</definedName>
    <definedName hidden="1" localSheetId="2" name="_xlnm._FilterDatabase">LIMPIEZA_COBERTURA!$A$1:$M$29</definedName>
    <definedName hidden="1" localSheetId="3" name="_xlnm._FilterDatabase">LIMPIEZA_PRESUPUESTO!$A$1:$C$11</definedName>
    <definedName hidden="1" localSheetId="4" name="_xlnm._FilterDatabase">AULA911_CAMPUS!$A$1:$F$23</definedName>
    <definedName hidden="1" localSheetId="5" name="_xlnm._FilterDatabase">AULA911_TOP!$A$1:$B$6</definedName>
    <definedName hidden="1" localSheetId="6" name="_xlnm._FilterDatabase">RONDAS!$A$1:$H$23</definedName>
    <definedName hidden="1" localSheetId="7" name="_xlnm._FilterDatabase">PROYECTOS!$A$1:$G$20</definedName>
    <definedName hidden="1" localSheetId="8" name="_xlnm._FilterDatabase">MEJORAS_PROGRAMACION!$A$1:$N$18</definedName>
    <definedName hidden="1" localSheetId="9" name="_xlnm._FilterDatabase">MEJORAS_ESTADO!$A$1:$C$5</definedName>
    <definedName hidden="1" localSheetId="10" name="_xlnm._FilterDatabase">LISTO!$A$1:$G$19</definedName>
    <definedName hidden="1" localSheetId="11" name="_xlnm._FilterDatabase">CONFIG_HTML!$A$1:$D$1</definedName>
  </definedNames>
  <calcPr/>
  <extLst>
    <ext uri="GoogleSheetsCustomDataVersion2">
      <go:sheetsCustomData xmlns:go="http://customooxmlschemas.google.com/" r:id="rId16" roundtripDataChecksum="eXLbFrkQM9XP2+UauwaMpXzRouziBLINfamYXvmdepY="/>
    </ext>
  </extLst>
</workbook>
</file>

<file path=xl/sharedStrings.xml><?xml version="1.0" encoding="utf-8"?>
<sst xmlns="http://schemas.openxmlformats.org/spreadsheetml/2006/main" count="497" uniqueCount="280">
  <si>
    <t>Instrucciones</t>
  </si>
  <si>
    <t>Este Excel alimenta el dashboard HTML (index.html).</t>
  </si>
  <si>
    <t>El HTML ya está programado para leer el archivo 'BD_dashboard_operaciones_github.xlsx' de forma automática al abrirse.</t>
  </si>
  <si>
    <t>periodo</t>
  </si>
  <si>
    <t>modulo</t>
  </si>
  <si>
    <t>CÓMO USARLO:</t>
  </si>
  <si>
    <t>1. Edita los valores en las hojas de abajo (no cambies los nombres de hoja ni de columnas).</t>
  </si>
  <si>
    <t>2. Guarda este archivo con el nombre exacto: BD_dashboard_operaciones_github.xlsx</t>
  </si>
  <si>
    <t>3. Súbelo a la misma carpeta/repositorio donde está el index.html (reemplazando el anterior).</t>
  </si>
  <si>
    <t>4. Al abrir o recargar el HTML, los datos se actualizan solos (no hay que tocar el código).</t>
  </si>
  <si>
    <t>zona</t>
  </si>
  <si>
    <t>HOJAS Y SU FUNCIÓN:</t>
  </si>
  <si>
    <t>KPIs_HTML: todas las tarjetas numéricas (KPI) del dashboard. Columnas: modulo, indicador, valor, unidad.</t>
  </si>
  <si>
    <t xml:space="preserve">   unidad admite: porcentaje (valor como fracción, ej. 0.95 = 95%), entero, minutos, moneda, decimal.</t>
  </si>
  <si>
    <t>LIMPIEZA_COBERTURA: tabla de cobertura de limpieza por sede.</t>
  </si>
  <si>
    <t>LIMPIEZA_PRESUPUESTO: montos mensuales de descuentos y penalidades. periodo en formato AAAA-MM.</t>
  </si>
  <si>
    <t>indicador</t>
  </si>
  <si>
    <t>AULA911_CAMPUS: tiempos de atención y valoración por campus (Aula 911).</t>
  </si>
  <si>
    <t>AULA911_TOP: participación (fracción 0-1) de los tipos de incidencia más frecuentes.</t>
  </si>
  <si>
    <t>campus</t>
  </si>
  <si>
    <t>valor</t>
  </si>
  <si>
    <t>RONDAS: cumplimiento de rondas por sede.</t>
  </si>
  <si>
    <t>PROYECTOS: portafolio de proyectos 2026 (usado también en el detalle de Huánuco/Huamanga/Juliaca).</t>
  </si>
  <si>
    <t>unidad</t>
  </si>
  <si>
    <t>dot_m</t>
  </si>
  <si>
    <t>MEJORAS_PROGRAMACION: iniciativas estratégicas por campus y mes.</t>
  </si>
  <si>
    <t>MEJORAS_ESTADO: conteo de iniciativas por estado (Ejecutado/En proceso/Pendiente/Cancelado).</t>
  </si>
  <si>
    <t>concepto</t>
  </si>
  <si>
    <t>Limpieza</t>
  </si>
  <si>
    <t>dot_t</t>
  </si>
  <si>
    <t>LISTO: implementación del programa Listo por campus (incluye el detalle de Trujillo).</t>
  </si>
  <si>
    <t>CONFIG_HTML (opcional): permite sobrescribir textos puntuales del HTML por selector CSS.</t>
  </si>
  <si>
    <t>monto</t>
  </si>
  <si>
    <t>dot_n</t>
  </si>
  <si>
    <t xml:space="preserve">   selector 'meta:&lt;id-seccion&gt;:eyebrow' o 'meta:&lt;id-seccion&gt;:title' cambia los títulos de cada sección.</t>
  </si>
  <si>
    <t>Cobertura semanal total</t>
  </si>
  <si>
    <t>cob_m</t>
  </si>
  <si>
    <t>porcentaje</t>
  </si>
  <si>
    <t>2026-05</t>
  </si>
  <si>
    <t>cob_t</t>
  </si>
  <si>
    <t>Descuentos faltas/tardanzas</t>
  </si>
  <si>
    <t>cob_n</t>
  </si>
  <si>
    <t>Dotación programada (turnos)</t>
  </si>
  <si>
    <t>entero</t>
  </si>
  <si>
    <t>pend_m</t>
  </si>
  <si>
    <t>2026-06</t>
  </si>
  <si>
    <t>pend_t</t>
  </si>
  <si>
    <t>Turnos cubiertos</t>
  </si>
  <si>
    <t>pend_n</t>
  </si>
  <si>
    <t>2026-07</t>
  </si>
  <si>
    <t>pend_total</t>
  </si>
  <si>
    <t>cobertura_pct</t>
  </si>
  <si>
    <t>2026-08</t>
  </si>
  <si>
    <t>LIMA</t>
  </si>
  <si>
    <t>2026-09</t>
  </si>
  <si>
    <t>SJL I</t>
  </si>
  <si>
    <t>Turnos pendientes</t>
  </si>
  <si>
    <t>Penalidades</t>
  </si>
  <si>
    <t>Presupuesto 2026</t>
  </si>
  <si>
    <t>moneda</t>
  </si>
  <si>
    <t>Presupuesto ejecutado</t>
  </si>
  <si>
    <t>ALMACEN CENTRAL</t>
  </si>
  <si>
    <t>Nivel de ejecución</t>
  </si>
  <si>
    <t>JARRITA</t>
  </si>
  <si>
    <t>Descuentos + penalidades</t>
  </si>
  <si>
    <t>Aula 911</t>
  </si>
  <si>
    <t># incidencias</t>
  </si>
  <si>
    <t>TORRE NUEVA</t>
  </si>
  <si>
    <t>Tiempo acepta solicitud</t>
  </si>
  <si>
    <t>minutos</t>
  </si>
  <si>
    <t>LIMA NORTE</t>
  </si>
  <si>
    <t>Tiempo atiende solicitud</t>
  </si>
  <si>
    <t>Tiempo total de atención</t>
  </si>
  <si>
    <t>PROVINCIA</t>
  </si>
  <si>
    <t>AREQUIPA POSTGRADO</t>
  </si>
  <si>
    <t>Valoración general</t>
  </si>
  <si>
    <t>decimal</t>
  </si>
  <si>
    <t>Rondas</t>
  </si>
  <si>
    <t>% cumplimiento</t>
  </si>
  <si>
    <t>CHIMBOTE</t>
  </si>
  <si>
    <t>% cumplimiento encargado</t>
  </si>
  <si>
    <t>% cumplimiento Asistente</t>
  </si>
  <si>
    <t>PIURA</t>
  </si>
  <si>
    <t>Total programado</t>
  </si>
  <si>
    <t>Total ejecutado</t>
  </si>
  <si>
    <t># checkpoints</t>
  </si>
  <si>
    <t>TRUJILLO</t>
  </si>
  <si>
    <t>Proyectos</t>
  </si>
  <si>
    <t>En proceso</t>
  </si>
  <si>
    <t>HUANCAYO</t>
  </si>
  <si>
    <t>Pendientes</t>
  </si>
  <si>
    <t>Listo</t>
  </si>
  <si>
    <t>Registros</t>
  </si>
  <si>
    <t>HUANUCO</t>
  </si>
  <si>
    <t>Operativos</t>
  </si>
  <si>
    <t>Por implementar</t>
  </si>
  <si>
    <t>IQUITOS</t>
  </si>
  <si>
    <t>PUCALLPA</t>
  </si>
  <si>
    <t>ICA</t>
  </si>
  <si>
    <t>TORRE II</t>
  </si>
  <si>
    <t>TACNA</t>
  </si>
  <si>
    <t>ATE</t>
  </si>
  <si>
    <t>CHICLAYO</t>
  </si>
  <si>
    <t>PACIFICO</t>
  </si>
  <si>
    <t>LIMA SUR</t>
  </si>
  <si>
    <t>SEDE CENTRAL</t>
  </si>
  <si>
    <t>OFICINAS ADMINISTRATIVA</t>
  </si>
  <si>
    <t>AREQUIPA I</t>
  </si>
  <si>
    <t>SJL II</t>
  </si>
  <si>
    <t>AREQUIPA III</t>
  </si>
  <si>
    <t>tiempo_acepta_min</t>
  </si>
  <si>
    <t>tiempo_atiende_min</t>
  </si>
  <si>
    <t>AREQUIPA II</t>
  </si>
  <si>
    <t>tiempo_total_min</t>
  </si>
  <si>
    <t>valoracion</t>
  </si>
  <si>
    <t>es_subsede</t>
  </si>
  <si>
    <t>EPG SALAVERRY</t>
  </si>
  <si>
    <t>CAMPUS CHIMBOTE</t>
  </si>
  <si>
    <t>JOSE DIAZ</t>
  </si>
  <si>
    <t>CAMPUS TRUJILLO</t>
  </si>
  <si>
    <t>CAMPUS PIURA</t>
  </si>
  <si>
    <t>CAMPUS AREQUIPA</t>
  </si>
  <si>
    <t>Tacna y Arica</t>
  </si>
  <si>
    <t>Parra</t>
  </si>
  <si>
    <t>Parra 2</t>
  </si>
  <si>
    <t>CAMPUS HUANCAYO</t>
  </si>
  <si>
    <t>CAMPUS SAN JUAN DE LURIGANCHO</t>
  </si>
  <si>
    <t>CAMPUS ATE UTP</t>
  </si>
  <si>
    <t>CAMPUS IQUITOS</t>
  </si>
  <si>
    <t>CAMPUS CHICLAYO</t>
  </si>
  <si>
    <t>CAMPUS LIMA</t>
  </si>
  <si>
    <t>Torre Petit Thouars</t>
  </si>
  <si>
    <t>Edificio Pacífico</t>
  </si>
  <si>
    <t>Torre Arequipa</t>
  </si>
  <si>
    <t>Sede Central</t>
  </si>
  <si>
    <t>CAMPUS ICA</t>
  </si>
  <si>
    <t>CAMPUS TACNA</t>
  </si>
  <si>
    <t>CAMPUS PUCALLPA</t>
  </si>
  <si>
    <t>CAMPUS LIMA NORTE UTP</t>
  </si>
  <si>
    <t>CAMPUS LIMA SUR UTP</t>
  </si>
  <si>
    <t>tipo_incidencia</t>
  </si>
  <si>
    <t>participacion</t>
  </si>
  <si>
    <t>Problema con la PC</t>
  </si>
  <si>
    <t>sede</t>
  </si>
  <si>
    <t>Problema con el proyector</t>
  </si>
  <si>
    <t>dispositivos_asignados</t>
  </si>
  <si>
    <t>Ambiente cerrado</t>
  </si>
  <si>
    <t>responsables</t>
  </si>
  <si>
    <t>programado</t>
  </si>
  <si>
    <t>ejecutado</t>
  </si>
  <si>
    <t>Problema con el audio</t>
  </si>
  <si>
    <t>cumplimiento_pct</t>
  </si>
  <si>
    <t>Problema con el Zoom</t>
  </si>
  <si>
    <t>04. UTP Ate</t>
  </si>
  <si>
    <t>03. UTP SJL</t>
  </si>
  <si>
    <t>11. UTP Huancayo</t>
  </si>
  <si>
    <t>07. UTP Chiclayo</t>
  </si>
  <si>
    <t>05. UTP Lima Sur</t>
  </si>
  <si>
    <t>06. UTP Arequipa</t>
  </si>
  <si>
    <t>02. UTP Arequipa Parra I</t>
  </si>
  <si>
    <t>03. UTP Arequipa Parra II</t>
  </si>
  <si>
    <t>01. UTP Arequipa Tacna y Arica</t>
  </si>
  <si>
    <t>09. UTP Piura</t>
  </si>
  <si>
    <t>01. UTP Lima Centro</t>
  </si>
  <si>
    <t>03. UTP Lima Centro Torre Petit Thouars</t>
  </si>
  <si>
    <t>01. UTP Lima Centro Sede Central</t>
  </si>
  <si>
    <t>04. UTP Lima Centro Torre Pacifico</t>
  </si>
  <si>
    <t>02. UTP Lima Centro Torre Arequipa</t>
  </si>
  <si>
    <t>proyecto</t>
  </si>
  <si>
    <t>estado</t>
  </si>
  <si>
    <t>13. UTP Iquitos</t>
  </si>
  <si>
    <t>avance_obra_pct</t>
  </si>
  <si>
    <t>avance_compras_pct</t>
  </si>
  <si>
    <t>avance_implementación_pct</t>
  </si>
  <si>
    <t>fecha_objetivo_texto</t>
  </si>
  <si>
    <t>14. UTP Pucallpa</t>
  </si>
  <si>
    <t>con_observaciones</t>
  </si>
  <si>
    <t>nueva_fecha_texto</t>
  </si>
  <si>
    <t>Nuevo Edificio Campus Lima Norte (Salud) – Por definir ITSE</t>
  </si>
  <si>
    <t>02. UTP Lima Norte</t>
  </si>
  <si>
    <t>12. UTP Trujillo</t>
  </si>
  <si>
    <t>08. UTP Ica</t>
  </si>
  <si>
    <t>10. UTP Chimbote</t>
  </si>
  <si>
    <t>SET 26</t>
  </si>
  <si>
    <t>-</t>
  </si>
  <si>
    <t>15. UTP Tacna</t>
  </si>
  <si>
    <t>Laboratorios Salud Campus Lima Norte – ETAPA I – Pendiente ITSE</t>
  </si>
  <si>
    <t>AGO 26</t>
  </si>
  <si>
    <t>Si</t>
  </si>
  <si>
    <t>Laboratorios de Técnicas Dietéticas y Terapia (Iquitos –Pucallpa)</t>
  </si>
  <si>
    <t>Nuevo Campus Huánuco - ITSE - 14/08</t>
  </si>
  <si>
    <t>OCT 26</t>
  </si>
  <si>
    <t>Nuevo Campus Huamanga – ITSE – 02/10</t>
  </si>
  <si>
    <t>Nuevo Campus Juliaca – ITSE - 18/11</t>
  </si>
  <si>
    <t>NOV 26</t>
  </si>
  <si>
    <t>Nuevos Laboratorios de Hotelería y Turismo – Lima Centro</t>
  </si>
  <si>
    <t>ENE 27</t>
  </si>
  <si>
    <t>Nuevos Laboratorios de Odontología – Lima Centro - Jarrita</t>
  </si>
  <si>
    <t>MAR 27</t>
  </si>
  <si>
    <t>fecha_inicio_texto</t>
  </si>
  <si>
    <t>Nuevo Campus Cusco</t>
  </si>
  <si>
    <t>fecha_fin_texto</t>
  </si>
  <si>
    <t>Pendiente</t>
  </si>
  <si>
    <t>mar</t>
  </si>
  <si>
    <t>JUL 27</t>
  </si>
  <si>
    <t>Ampliación Campus Huancayo</t>
  </si>
  <si>
    <t>abr</t>
  </si>
  <si>
    <t>may</t>
  </si>
  <si>
    <t>AGO 27</t>
  </si>
  <si>
    <t>jun</t>
  </si>
  <si>
    <t>Ampliación Campus Piura</t>
  </si>
  <si>
    <t>jul</t>
  </si>
  <si>
    <t>Remodelación de Saco Oliveros</t>
  </si>
  <si>
    <t>Clínica Odontológica – Guzman Blanco</t>
  </si>
  <si>
    <t>agos</t>
  </si>
  <si>
    <t>set</t>
  </si>
  <si>
    <t>oct</t>
  </si>
  <si>
    <t>Idat Campus SJL</t>
  </si>
  <si>
    <t>nov</t>
  </si>
  <si>
    <t>dic</t>
  </si>
  <si>
    <t>total</t>
  </si>
  <si>
    <t>Idat Campus SJM</t>
  </si>
  <si>
    <t>Corporativo - Natalio</t>
  </si>
  <si>
    <t>UTP Arequipa</t>
  </si>
  <si>
    <t>UTP Chiclayo</t>
  </si>
  <si>
    <t>Idat Chiclayo</t>
  </si>
  <si>
    <t>UTP Chimbote</t>
  </si>
  <si>
    <t>Medicina Ica</t>
  </si>
  <si>
    <t>UTP Huancayo</t>
  </si>
  <si>
    <t>Medicina Trujillo</t>
  </si>
  <si>
    <t>cantidad</t>
  </si>
  <si>
    <t>UTP Ica</t>
  </si>
  <si>
    <t>Medicina Piura</t>
  </si>
  <si>
    <t>Ejecutado</t>
  </si>
  <si>
    <t>UTP Iquitos</t>
  </si>
  <si>
    <t>Cancelado</t>
  </si>
  <si>
    <t>UTP Lima Centro</t>
  </si>
  <si>
    <t>UTP Lima Este</t>
  </si>
  <si>
    <t>UTP Lima Norte</t>
  </si>
  <si>
    <t>UTP Lima Sur</t>
  </si>
  <si>
    <t>UTP Piura</t>
  </si>
  <si>
    <t>UTP Pucallpa</t>
  </si>
  <si>
    <t>UTP SJL</t>
  </si>
  <si>
    <t>UTP Tacna</t>
  </si>
  <si>
    <t>UTP Trujillo</t>
  </si>
  <si>
    <t>UTP EPG Salaverry</t>
  </si>
  <si>
    <t>diseno_pct</t>
  </si>
  <si>
    <t>obra_pct</t>
  </si>
  <si>
    <t>selector</t>
  </si>
  <si>
    <t>operacion</t>
  </si>
  <si>
    <t>con_observacion</t>
  </si>
  <si>
    <t>tipo</t>
  </si>
  <si>
    <t>atributo</t>
  </si>
  <si>
    <t>LC – Torre Tecnológica Arequipa (I)</t>
  </si>
  <si>
    <t>Sí</t>
  </si>
  <si>
    <t>Mar-26</t>
  </si>
  <si>
    <t>No</t>
  </si>
  <si>
    <t>LC – Sede Central (I)</t>
  </si>
  <si>
    <t>6/04/2026</t>
  </si>
  <si>
    <t>LC – Torre II (I)</t>
  </si>
  <si>
    <t>LS – Piso 1 (I)</t>
  </si>
  <si>
    <t>LS – Piso 10 (I)</t>
  </si>
  <si>
    <t>Ica (I)</t>
  </si>
  <si>
    <t>Arequipa – Tacna y Arica (I)</t>
  </si>
  <si>
    <t>LC – Pacífico (II)</t>
  </si>
  <si>
    <t>13/04/2026</t>
  </si>
  <si>
    <t>SJL (II)</t>
  </si>
  <si>
    <t>30/03/2026</t>
  </si>
  <si>
    <t>Arequipa – Parra 2 (II)</t>
  </si>
  <si>
    <t>Trujillo (II)</t>
  </si>
  <si>
    <t>Jun-26</t>
  </si>
  <si>
    <t>Lima Norte (II) – Pendiente</t>
  </si>
  <si>
    <t>Chiclayo (II)</t>
  </si>
  <si>
    <t>Oct-26</t>
  </si>
  <si>
    <t>ATE (II)</t>
  </si>
  <si>
    <t>Pucallpa (III)</t>
  </si>
  <si>
    <t>Nov-26</t>
  </si>
  <si>
    <t>Iquitos (III)</t>
  </si>
  <si>
    <t>Chimbote (III)</t>
  </si>
  <si>
    <t>Resto de campus (IV)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</si>
</sst>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b/>
      <sz val="13.0"/>
      <color rgb="FFC8161C"/>
      <name val="Arial"/>
    </font>
    <font>
      <sz val="11.0"/>
      <color theme="1"/>
      <name val="Arial"/>
    </font>
    <font>
      <b/>
      <sz val="10.0"/>
      <color rgb="FFFFFFFF"/>
      <name val="Arial"/>
    </font>
    <font>
      <sz val="10.0"/>
      <color theme="1"/>
      <name val="Arial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C8161C"/>
        <bgColor rgb="FFC8161C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1" fillId="2" fontId="3" numFmtId="0" xfId="0" applyAlignment="1" applyBorder="1" applyFill="1" applyFont="1">
      <alignment horizontal="center" shrinkToFit="0" vertical="center" wrapText="0"/>
    </xf>
    <xf borderId="0" fillId="0" fontId="4" numFmtId="0" xfId="0" applyAlignment="1" applyFont="1">
      <alignment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2" fontId="3" numFmtId="0" xfId="0" applyAlignment="1" applyFill="1" applyFont="1">
      <alignment horizontal="center" shrinkToFit="0" vertical="center" wrapText="0"/>
    </xf>
    <xf borderId="0" fillId="0" fontId="4" numFmtId="49" xfId="0" applyAlignment="1" applyFont="1" applyNumberFormat="1">
      <alignment readingOrder="0" shrinkToFit="0" vertical="bottom" wrapText="0"/>
    </xf>
    <xf borderId="1" fillId="2" fontId="3" numFmtId="0" xfId="0" applyAlignment="1" applyBorder="1" applyFill="1" applyFont="1">
      <alignment horizontal="center" readingOrder="0" shrinkToFit="0" vertical="center" wrapText="0"/>
    </xf>
    <xf borderId="0" fillId="0" fontId="4" numFmtId="49" xfId="0" applyAlignment="1" applyFont="1" applyNumberFormat="1">
      <alignment shrinkToFit="0" vertical="bottom" wrapText="0"/>
    </xf>
    <xf borderId="0" fillId="0" fontId="5" numFmtId="49" xfId="0" applyAlignment="1" applyFont="1" applyNumberForma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30.0"/>
    <col customWidth="1" min="2" max="26" width="8.86"/>
  </cols>
  <sheetData>
    <row r="1" ht="16.5" customHeight="1">
      <c r="A1" s="1" t="s">
        <v>0</v>
      </c>
    </row>
    <row r="2" ht="14.25" customHeight="1">
      <c r="A2" s="2" t="s">
        <v>1</v>
      </c>
    </row>
    <row r="3" ht="14.25" customHeight="1">
      <c r="A3" s="2" t="s">
        <v>2</v>
      </c>
    </row>
    <row r="4" ht="14.25" customHeight="1">
      <c r="A4" s="2"/>
    </row>
    <row r="5" ht="14.25" customHeight="1">
      <c r="A5" s="2" t="s">
        <v>5</v>
      </c>
    </row>
    <row r="6" ht="14.25" customHeight="1">
      <c r="A6" s="2" t="s">
        <v>6</v>
      </c>
    </row>
    <row r="7" ht="14.25" customHeight="1">
      <c r="A7" s="2" t="s">
        <v>7</v>
      </c>
    </row>
    <row r="8" ht="14.25" customHeight="1">
      <c r="A8" s="2" t="s">
        <v>8</v>
      </c>
    </row>
    <row r="9" ht="14.25" customHeight="1">
      <c r="A9" s="2" t="s">
        <v>9</v>
      </c>
    </row>
    <row r="10" ht="14.25" customHeight="1">
      <c r="A10" s="2"/>
    </row>
    <row r="11" ht="14.25" customHeight="1">
      <c r="A11" s="2" t="s">
        <v>11</v>
      </c>
    </row>
    <row r="12" ht="14.25" customHeight="1">
      <c r="A12" s="2" t="s">
        <v>12</v>
      </c>
    </row>
    <row r="13" ht="14.25" customHeight="1">
      <c r="A13" s="2" t="s">
        <v>13</v>
      </c>
    </row>
    <row r="14" ht="14.25" customHeight="1">
      <c r="A14" s="2" t="s">
        <v>14</v>
      </c>
    </row>
    <row r="15" ht="14.25" customHeight="1">
      <c r="A15" s="2" t="s">
        <v>15</v>
      </c>
    </row>
    <row r="16" ht="14.25" customHeight="1">
      <c r="A16" s="2" t="s">
        <v>17</v>
      </c>
    </row>
    <row r="17" ht="14.25" customHeight="1">
      <c r="A17" s="2" t="s">
        <v>18</v>
      </c>
    </row>
    <row r="18" ht="14.25" customHeight="1">
      <c r="A18" s="2" t="s">
        <v>21</v>
      </c>
    </row>
    <row r="19" ht="14.25" customHeight="1">
      <c r="A19" s="2" t="s">
        <v>22</v>
      </c>
    </row>
    <row r="20" ht="14.25" customHeight="1">
      <c r="A20" s="2" t="s">
        <v>25</v>
      </c>
    </row>
    <row r="21" ht="14.25" customHeight="1">
      <c r="A21" s="2" t="s">
        <v>26</v>
      </c>
    </row>
    <row r="22" ht="14.25" customHeight="1">
      <c r="A22" s="2" t="s">
        <v>30</v>
      </c>
    </row>
    <row r="23" ht="14.25" customHeight="1">
      <c r="A23" s="2" t="s">
        <v>31</v>
      </c>
    </row>
    <row r="24" ht="14.25" customHeight="1">
      <c r="A24" s="2" t="s">
        <v>34</v>
      </c>
    </row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31.0"/>
    <col customWidth="1" min="3" max="3" width="11.0"/>
    <col customWidth="1" min="4" max="4" width="13.0"/>
    <col customWidth="1" min="5" max="26" width="8.86"/>
  </cols>
  <sheetData>
    <row r="1" ht="14.25" customHeight="1">
      <c r="A1" s="3" t="s">
        <v>4</v>
      </c>
      <c r="B1" s="3" t="s">
        <v>16</v>
      </c>
      <c r="C1" s="3" t="s">
        <v>20</v>
      </c>
      <c r="D1" s="3" t="s">
        <v>23</v>
      </c>
    </row>
    <row r="2" ht="14.25" customHeight="1">
      <c r="A2" s="4" t="s">
        <v>28</v>
      </c>
      <c r="B2" s="4" t="s">
        <v>35</v>
      </c>
      <c r="C2" s="4">
        <v>0.95</v>
      </c>
      <c r="D2" s="4" t="s">
        <v>37</v>
      </c>
    </row>
    <row r="3" ht="14.25" customHeight="1">
      <c r="A3" s="4" t="s">
        <v>28</v>
      </c>
      <c r="B3" s="4" t="s">
        <v>42</v>
      </c>
      <c r="C3" s="4">
        <v>616.0</v>
      </c>
      <c r="D3" s="4" t="s">
        <v>43</v>
      </c>
    </row>
    <row r="4" ht="14.25" customHeight="1">
      <c r="A4" s="4" t="s">
        <v>28</v>
      </c>
      <c r="B4" s="4" t="s">
        <v>47</v>
      </c>
      <c r="C4" s="4">
        <v>584.0</v>
      </c>
      <c r="D4" s="4" t="s">
        <v>43</v>
      </c>
    </row>
    <row r="5" ht="14.25" customHeight="1">
      <c r="A5" s="4" t="s">
        <v>28</v>
      </c>
      <c r="B5" s="4" t="s">
        <v>56</v>
      </c>
      <c r="C5" s="4">
        <v>32.0</v>
      </c>
      <c r="D5" s="4" t="s">
        <v>43</v>
      </c>
    </row>
    <row r="6" ht="14.25" customHeight="1">
      <c r="A6" s="4" t="s">
        <v>28</v>
      </c>
      <c r="B6" s="4" t="s">
        <v>58</v>
      </c>
      <c r="C6" s="4">
        <v>1.8E7</v>
      </c>
      <c r="D6" s="4" t="s">
        <v>59</v>
      </c>
    </row>
    <row r="7" ht="14.25" customHeight="1">
      <c r="A7" s="4" t="s">
        <v>28</v>
      </c>
      <c r="B7" s="4" t="s">
        <v>60</v>
      </c>
      <c r="C7" s="4">
        <v>1.12E7</v>
      </c>
      <c r="D7" s="4" t="s">
        <v>59</v>
      </c>
    </row>
    <row r="8" ht="14.25" customHeight="1">
      <c r="A8" s="4" t="s">
        <v>28</v>
      </c>
      <c r="B8" s="4" t="s">
        <v>62</v>
      </c>
      <c r="C8" s="4">
        <v>0.622</v>
      </c>
      <c r="D8" s="4" t="s">
        <v>37</v>
      </c>
    </row>
    <row r="9" ht="14.25" customHeight="1">
      <c r="A9" s="4" t="s">
        <v>28</v>
      </c>
      <c r="B9" s="4" t="s">
        <v>64</v>
      </c>
      <c r="C9" s="4">
        <v>222439.0</v>
      </c>
      <c r="D9" s="4" t="s">
        <v>59</v>
      </c>
    </row>
    <row r="10" ht="14.25" customHeight="1">
      <c r="A10" s="4" t="s">
        <v>65</v>
      </c>
      <c r="B10" s="4" t="s">
        <v>66</v>
      </c>
      <c r="C10" s="4">
        <v>21040.0</v>
      </c>
      <c r="D10" s="4" t="s">
        <v>43</v>
      </c>
    </row>
    <row r="11" ht="14.25" customHeight="1">
      <c r="A11" s="4" t="s">
        <v>65</v>
      </c>
      <c r="B11" s="4" t="s">
        <v>68</v>
      </c>
      <c r="C11" s="4">
        <v>4.7</v>
      </c>
      <c r="D11" s="4" t="s">
        <v>69</v>
      </c>
    </row>
    <row r="12" ht="14.25" customHeight="1">
      <c r="A12" s="4" t="s">
        <v>65</v>
      </c>
      <c r="B12" s="4" t="s">
        <v>71</v>
      </c>
      <c r="C12" s="4">
        <v>4.7</v>
      </c>
      <c r="D12" s="4" t="s">
        <v>69</v>
      </c>
    </row>
    <row r="13" ht="14.25" customHeight="1">
      <c r="A13" s="4" t="s">
        <v>65</v>
      </c>
      <c r="B13" s="4" t="s">
        <v>72</v>
      </c>
      <c r="C13" s="4">
        <v>9.4</v>
      </c>
      <c r="D13" s="4" t="s">
        <v>69</v>
      </c>
    </row>
    <row r="14" ht="14.25" customHeight="1">
      <c r="A14" s="4" t="s">
        <v>65</v>
      </c>
      <c r="B14" s="4" t="s">
        <v>75</v>
      </c>
      <c r="C14" s="4">
        <v>4.6</v>
      </c>
      <c r="D14" s="4" t="s">
        <v>76</v>
      </c>
    </row>
    <row r="15" ht="14.25" customHeight="1">
      <c r="A15" s="4" t="s">
        <v>77</v>
      </c>
      <c r="B15" s="4" t="s">
        <v>78</v>
      </c>
      <c r="C15" s="4">
        <v>0.71</v>
      </c>
      <c r="D15" s="4" t="s">
        <v>37</v>
      </c>
    </row>
    <row r="16" ht="14.25" customHeight="1">
      <c r="A16" s="4" t="s">
        <v>77</v>
      </c>
      <c r="B16" s="4" t="s">
        <v>80</v>
      </c>
      <c r="C16" s="4">
        <v>0.57</v>
      </c>
      <c r="D16" s="4" t="s">
        <v>37</v>
      </c>
    </row>
    <row r="17" ht="14.25" customHeight="1">
      <c r="A17" s="4" t="s">
        <v>77</v>
      </c>
      <c r="B17" s="4" t="s">
        <v>81</v>
      </c>
      <c r="C17" s="4">
        <v>0.77</v>
      </c>
      <c r="D17" s="4" t="s">
        <v>37</v>
      </c>
    </row>
    <row r="18" ht="14.25" customHeight="1">
      <c r="A18" s="4" t="s">
        <v>77</v>
      </c>
      <c r="B18" s="4" t="s">
        <v>83</v>
      </c>
      <c r="C18" s="4">
        <v>106191.0</v>
      </c>
      <c r="D18" s="4" t="s">
        <v>43</v>
      </c>
    </row>
    <row r="19" ht="14.25" customHeight="1">
      <c r="A19" s="4" t="s">
        <v>77</v>
      </c>
      <c r="B19" s="4" t="s">
        <v>84</v>
      </c>
      <c r="C19" s="4">
        <v>97422.0</v>
      </c>
      <c r="D19" s="4" t="s">
        <v>43</v>
      </c>
    </row>
    <row r="20" ht="14.25" customHeight="1">
      <c r="A20" s="4" t="s">
        <v>77</v>
      </c>
      <c r="B20" s="4" t="s">
        <v>85</v>
      </c>
      <c r="C20" s="4">
        <v>678.0</v>
      </c>
      <c r="D20" s="4" t="s">
        <v>43</v>
      </c>
    </row>
    <row r="21" ht="14.25" customHeight="1">
      <c r="A21" s="4" t="s">
        <v>87</v>
      </c>
      <c r="B21" s="4" t="s">
        <v>87</v>
      </c>
      <c r="C21" s="4">
        <v>19.0</v>
      </c>
      <c r="D21" s="4" t="s">
        <v>43</v>
      </c>
    </row>
    <row r="22" ht="14.25" customHeight="1">
      <c r="A22" s="4" t="s">
        <v>87</v>
      </c>
      <c r="B22" s="4" t="s">
        <v>88</v>
      </c>
      <c r="C22" s="4">
        <v>8.0</v>
      </c>
      <c r="D22" s="4" t="s">
        <v>43</v>
      </c>
    </row>
    <row r="23" ht="14.25" customHeight="1">
      <c r="A23" s="4" t="s">
        <v>87</v>
      </c>
      <c r="B23" s="4" t="s">
        <v>90</v>
      </c>
      <c r="C23" s="4">
        <v>11.0</v>
      </c>
      <c r="D23" s="4" t="s">
        <v>43</v>
      </c>
    </row>
    <row r="24" ht="14.25" customHeight="1">
      <c r="A24" s="4" t="s">
        <v>91</v>
      </c>
      <c r="B24" s="4" t="s">
        <v>92</v>
      </c>
      <c r="C24" s="4">
        <v>18.0</v>
      </c>
      <c r="D24" s="4" t="s">
        <v>43</v>
      </c>
    </row>
    <row r="25" ht="14.25" customHeight="1">
      <c r="A25" s="4" t="s">
        <v>91</v>
      </c>
      <c r="B25" s="4" t="s">
        <v>94</v>
      </c>
      <c r="C25" s="4">
        <v>11.0</v>
      </c>
      <c r="D25" s="4" t="s">
        <v>43</v>
      </c>
    </row>
    <row r="26" ht="14.25" customHeight="1">
      <c r="A26" s="4" t="s">
        <v>91</v>
      </c>
      <c r="B26" s="4" t="s">
        <v>95</v>
      </c>
      <c r="C26" s="4">
        <v>7.0</v>
      </c>
      <c r="D26" s="4" t="s">
        <v>43</v>
      </c>
    </row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D$26"/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11" width="10.0"/>
    <col customWidth="1" min="12" max="12" width="13.0"/>
    <col customWidth="1" min="13" max="13" width="16.0"/>
    <col customWidth="1" min="14" max="26" width="8.86"/>
  </cols>
  <sheetData>
    <row r="1" ht="14.25" customHeight="1">
      <c r="A1" s="3" t="s">
        <v>10</v>
      </c>
      <c r="B1" s="3" t="s">
        <v>19</v>
      </c>
      <c r="C1" s="3" t="s">
        <v>24</v>
      </c>
      <c r="D1" s="3" t="s">
        <v>29</v>
      </c>
      <c r="E1" s="3" t="s">
        <v>33</v>
      </c>
      <c r="F1" s="3" t="s">
        <v>36</v>
      </c>
      <c r="G1" s="3" t="s">
        <v>39</v>
      </c>
      <c r="H1" s="3" t="s">
        <v>41</v>
      </c>
      <c r="I1" s="3" t="s">
        <v>44</v>
      </c>
      <c r="J1" s="3" t="s">
        <v>46</v>
      </c>
      <c r="K1" s="3" t="s">
        <v>48</v>
      </c>
      <c r="L1" s="3" t="s">
        <v>50</v>
      </c>
      <c r="M1" s="3" t="s">
        <v>51</v>
      </c>
    </row>
    <row r="2" ht="14.25" customHeight="1">
      <c r="A2" s="4" t="s">
        <v>53</v>
      </c>
      <c r="B2" s="4" t="s">
        <v>55</v>
      </c>
      <c r="C2" s="4">
        <v>9.0</v>
      </c>
      <c r="D2" s="4">
        <v>8.0</v>
      </c>
      <c r="E2" s="4">
        <v>0.0</v>
      </c>
      <c r="F2" s="4">
        <v>9.0</v>
      </c>
      <c r="G2" s="4">
        <v>8.0</v>
      </c>
      <c r="H2" s="4">
        <v>0.0</v>
      </c>
      <c r="I2" s="4">
        <v>0.0</v>
      </c>
      <c r="J2" s="4">
        <v>0.0</v>
      </c>
      <c r="K2" s="4">
        <v>0.0</v>
      </c>
      <c r="L2" s="4">
        <v>0.0</v>
      </c>
      <c r="M2" s="4">
        <v>1.0</v>
      </c>
    </row>
    <row r="3" ht="14.25" customHeight="1">
      <c r="A3" s="4" t="s">
        <v>53</v>
      </c>
      <c r="B3" s="4" t="s">
        <v>61</v>
      </c>
      <c r="C3" s="4">
        <v>1.0</v>
      </c>
      <c r="D3" s="4">
        <v>0.0</v>
      </c>
      <c r="E3" s="4">
        <v>0.0</v>
      </c>
      <c r="F3" s="4">
        <v>1.0</v>
      </c>
      <c r="G3" s="4">
        <v>0.0</v>
      </c>
      <c r="H3" s="4">
        <v>0.0</v>
      </c>
      <c r="I3" s="4">
        <v>0.0</v>
      </c>
      <c r="J3" s="4">
        <v>0.0</v>
      </c>
      <c r="K3" s="4">
        <v>0.0</v>
      </c>
      <c r="L3" s="4">
        <v>0.0</v>
      </c>
      <c r="M3" s="4">
        <v>1.0</v>
      </c>
    </row>
    <row r="4" ht="14.25" customHeight="1">
      <c r="A4" s="4" t="s">
        <v>53</v>
      </c>
      <c r="B4" s="4" t="s">
        <v>63</v>
      </c>
      <c r="C4" s="4">
        <v>3.0</v>
      </c>
      <c r="D4" s="4">
        <v>2.0</v>
      </c>
      <c r="E4" s="4">
        <v>0.0</v>
      </c>
      <c r="F4" s="4">
        <v>3.0</v>
      </c>
      <c r="G4" s="4">
        <v>2.0</v>
      </c>
      <c r="H4" s="4">
        <v>0.0</v>
      </c>
      <c r="I4" s="4">
        <v>0.0</v>
      </c>
      <c r="J4" s="4">
        <v>0.0</v>
      </c>
      <c r="K4" s="4">
        <v>0.0</v>
      </c>
      <c r="L4" s="4">
        <v>0.0</v>
      </c>
      <c r="M4" s="4">
        <v>1.0</v>
      </c>
    </row>
    <row r="5" ht="14.25" customHeight="1">
      <c r="A5" s="4" t="s">
        <v>53</v>
      </c>
      <c r="B5" s="4" t="s">
        <v>67</v>
      </c>
      <c r="C5" s="4">
        <v>15.0</v>
      </c>
      <c r="D5" s="4">
        <v>15.0</v>
      </c>
      <c r="E5" s="4">
        <v>8.0</v>
      </c>
      <c r="F5" s="4">
        <v>15.0</v>
      </c>
      <c r="G5" s="4">
        <v>15.0</v>
      </c>
      <c r="H5" s="4">
        <v>8.0</v>
      </c>
      <c r="I5" s="4">
        <v>0.0</v>
      </c>
      <c r="J5" s="4">
        <v>0.0</v>
      </c>
      <c r="K5" s="4">
        <v>0.0</v>
      </c>
      <c r="L5" s="4">
        <v>0.0</v>
      </c>
      <c r="M5" s="4">
        <v>1.0</v>
      </c>
    </row>
    <row r="6" ht="14.25" customHeight="1">
      <c r="A6" s="4" t="s">
        <v>53</v>
      </c>
      <c r="B6" s="4" t="s">
        <v>70</v>
      </c>
      <c r="C6" s="4">
        <v>19.0</v>
      </c>
      <c r="D6" s="4">
        <v>19.0</v>
      </c>
      <c r="E6" s="4">
        <v>12.0</v>
      </c>
      <c r="F6" s="4">
        <v>19.0</v>
      </c>
      <c r="G6" s="4">
        <v>19.0</v>
      </c>
      <c r="H6" s="4">
        <v>12.0</v>
      </c>
      <c r="I6" s="4">
        <v>0.0</v>
      </c>
      <c r="J6" s="4">
        <v>0.0</v>
      </c>
      <c r="K6" s="4">
        <v>0.0</v>
      </c>
      <c r="L6" s="4">
        <v>0.0</v>
      </c>
      <c r="M6" s="4">
        <v>1.0</v>
      </c>
    </row>
    <row r="7" ht="14.25" customHeight="1">
      <c r="A7" s="4" t="s">
        <v>73</v>
      </c>
      <c r="B7" s="4" t="s">
        <v>74</v>
      </c>
      <c r="C7" s="4">
        <v>1.0</v>
      </c>
      <c r="D7" s="4">
        <v>2.0</v>
      </c>
      <c r="E7" s="4">
        <v>0.0</v>
      </c>
      <c r="F7" s="4">
        <v>1.0</v>
      </c>
      <c r="G7" s="4">
        <v>2.0</v>
      </c>
      <c r="H7" s="4">
        <v>0.0</v>
      </c>
      <c r="I7" s="4">
        <v>0.0</v>
      </c>
      <c r="J7" s="4">
        <v>0.0</v>
      </c>
      <c r="K7" s="4">
        <v>0.0</v>
      </c>
      <c r="L7" s="4">
        <v>0.0</v>
      </c>
      <c r="M7" s="4">
        <v>1.0</v>
      </c>
    </row>
    <row r="8" ht="14.25" customHeight="1">
      <c r="A8" s="4" t="s">
        <v>73</v>
      </c>
      <c r="B8" s="4" t="s">
        <v>79</v>
      </c>
      <c r="C8" s="4">
        <v>16.0</v>
      </c>
      <c r="D8" s="4">
        <v>10.0</v>
      </c>
      <c r="E8" s="4">
        <v>0.0</v>
      </c>
      <c r="F8" s="4">
        <v>16.0</v>
      </c>
      <c r="G8" s="4">
        <v>10.0</v>
      </c>
      <c r="H8" s="4">
        <v>0.0</v>
      </c>
      <c r="I8" s="4">
        <v>0.0</v>
      </c>
      <c r="J8" s="4">
        <v>0.0</v>
      </c>
      <c r="K8" s="4">
        <v>0.0</v>
      </c>
      <c r="L8" s="4">
        <v>0.0</v>
      </c>
      <c r="M8" s="4">
        <v>1.0</v>
      </c>
    </row>
    <row r="9" ht="14.25" customHeight="1">
      <c r="A9" s="4" t="s">
        <v>73</v>
      </c>
      <c r="B9" s="4" t="s">
        <v>82</v>
      </c>
      <c r="C9" s="4">
        <v>15.0</v>
      </c>
      <c r="D9" s="4">
        <v>15.0</v>
      </c>
      <c r="E9" s="4">
        <v>8.0</v>
      </c>
      <c r="F9" s="4">
        <v>15.0</v>
      </c>
      <c r="G9" s="4">
        <v>15.0</v>
      </c>
      <c r="H9" s="4">
        <v>8.0</v>
      </c>
      <c r="I9" s="4">
        <v>0.0</v>
      </c>
      <c r="J9" s="4">
        <v>0.0</v>
      </c>
      <c r="K9" s="4">
        <v>0.0</v>
      </c>
      <c r="L9" s="4">
        <v>0.0</v>
      </c>
      <c r="M9" s="4">
        <v>1.0</v>
      </c>
    </row>
    <row r="10" ht="14.25" customHeight="1">
      <c r="A10" s="4" t="s">
        <v>73</v>
      </c>
      <c r="B10" s="4" t="s">
        <v>86</v>
      </c>
      <c r="C10" s="4">
        <v>8.0</v>
      </c>
      <c r="D10" s="4">
        <v>7.0</v>
      </c>
      <c r="E10" s="4">
        <v>0.0</v>
      </c>
      <c r="F10" s="4">
        <v>8.0</v>
      </c>
      <c r="G10" s="4">
        <v>7.0</v>
      </c>
      <c r="H10" s="4">
        <v>0.0</v>
      </c>
      <c r="I10" s="4">
        <v>0.0</v>
      </c>
      <c r="J10" s="4">
        <v>0.0</v>
      </c>
      <c r="K10" s="4">
        <v>0.0</v>
      </c>
      <c r="L10" s="4">
        <v>0.0</v>
      </c>
      <c r="M10" s="4">
        <v>1.0</v>
      </c>
    </row>
    <row r="11" ht="14.25" customHeight="1">
      <c r="A11" s="4" t="s">
        <v>73</v>
      </c>
      <c r="B11" s="4" t="s">
        <v>89</v>
      </c>
      <c r="C11" s="4">
        <v>13.0</v>
      </c>
      <c r="D11" s="4">
        <v>8.0</v>
      </c>
      <c r="E11" s="4">
        <v>0.0</v>
      </c>
      <c r="F11" s="4">
        <v>13.0</v>
      </c>
      <c r="G11" s="4">
        <v>8.0</v>
      </c>
      <c r="H11" s="4">
        <v>0.0</v>
      </c>
      <c r="I11" s="4">
        <v>0.0</v>
      </c>
      <c r="J11" s="4">
        <v>0.0</v>
      </c>
      <c r="K11" s="4">
        <v>0.0</v>
      </c>
      <c r="L11" s="4">
        <v>0.0</v>
      </c>
      <c r="M11" s="4">
        <v>1.0</v>
      </c>
    </row>
    <row r="12" ht="14.25" customHeight="1">
      <c r="A12" s="4" t="s">
        <v>73</v>
      </c>
      <c r="B12" s="4" t="s">
        <v>93</v>
      </c>
      <c r="C12" s="4">
        <v>1.0</v>
      </c>
      <c r="D12" s="4">
        <v>0.0</v>
      </c>
      <c r="E12" s="4">
        <v>0.0</v>
      </c>
      <c r="F12" s="4">
        <v>1.0</v>
      </c>
      <c r="G12" s="4">
        <v>0.0</v>
      </c>
      <c r="H12" s="4">
        <v>0.0</v>
      </c>
      <c r="I12" s="4">
        <v>0.0</v>
      </c>
      <c r="J12" s="4">
        <v>0.0</v>
      </c>
      <c r="K12" s="4">
        <v>0.0</v>
      </c>
      <c r="L12" s="4">
        <v>0.0</v>
      </c>
      <c r="M12" s="4">
        <v>1.0</v>
      </c>
    </row>
    <row r="13" ht="14.25" customHeight="1">
      <c r="A13" s="4" t="s">
        <v>73</v>
      </c>
      <c r="B13" s="4" t="s">
        <v>96</v>
      </c>
      <c r="C13" s="4">
        <v>9.0</v>
      </c>
      <c r="D13" s="4">
        <v>9.0</v>
      </c>
      <c r="E13" s="4">
        <v>0.0</v>
      </c>
      <c r="F13" s="4">
        <v>9.0</v>
      </c>
      <c r="G13" s="4">
        <v>9.0</v>
      </c>
      <c r="H13" s="4">
        <v>0.0</v>
      </c>
      <c r="I13" s="4">
        <v>0.0</v>
      </c>
      <c r="J13" s="4">
        <v>0.0</v>
      </c>
      <c r="K13" s="4">
        <v>0.0</v>
      </c>
      <c r="L13" s="4">
        <v>0.0</v>
      </c>
      <c r="M13" s="4">
        <v>1.0</v>
      </c>
    </row>
    <row r="14" ht="14.25" customHeight="1">
      <c r="A14" s="4" t="s">
        <v>73</v>
      </c>
      <c r="B14" s="4" t="s">
        <v>97</v>
      </c>
      <c r="C14" s="4">
        <v>10.0</v>
      </c>
      <c r="D14" s="4">
        <v>9.0</v>
      </c>
      <c r="E14" s="4">
        <v>0.0</v>
      </c>
      <c r="F14" s="4">
        <v>10.0</v>
      </c>
      <c r="G14" s="4">
        <v>9.0</v>
      </c>
      <c r="H14" s="4">
        <v>0.0</v>
      </c>
      <c r="I14" s="4">
        <v>0.0</v>
      </c>
      <c r="J14" s="4">
        <v>0.0</v>
      </c>
      <c r="K14" s="4">
        <v>0.0</v>
      </c>
      <c r="L14" s="4">
        <v>0.0</v>
      </c>
      <c r="M14" s="4">
        <v>1.0</v>
      </c>
    </row>
    <row r="15" ht="14.25" customHeight="1">
      <c r="A15" s="4" t="s">
        <v>73</v>
      </c>
      <c r="B15" s="4" t="s">
        <v>98</v>
      </c>
      <c r="C15" s="4">
        <v>17.0</v>
      </c>
      <c r="D15" s="4">
        <v>18.0</v>
      </c>
      <c r="E15" s="4">
        <v>0.0</v>
      </c>
      <c r="F15" s="4">
        <v>16.0</v>
      </c>
      <c r="G15" s="4">
        <v>18.0</v>
      </c>
      <c r="H15" s="4">
        <v>0.0</v>
      </c>
      <c r="I15" s="4">
        <v>1.0</v>
      </c>
      <c r="J15" s="4">
        <v>0.0</v>
      </c>
      <c r="K15" s="4">
        <v>0.0</v>
      </c>
      <c r="L15" s="4">
        <v>1.0</v>
      </c>
      <c r="M15" s="4">
        <v>0.97</v>
      </c>
    </row>
    <row r="16" ht="14.25" customHeight="1">
      <c r="A16" s="4" t="s">
        <v>53</v>
      </c>
      <c r="B16" s="4" t="s">
        <v>99</v>
      </c>
      <c r="C16" s="4">
        <v>9.0</v>
      </c>
      <c r="D16" s="4">
        <v>10.0</v>
      </c>
      <c r="E16" s="4">
        <v>5.0</v>
      </c>
      <c r="F16" s="4">
        <v>9.0</v>
      </c>
      <c r="G16" s="4">
        <v>9.0</v>
      </c>
      <c r="H16" s="4">
        <v>5.0</v>
      </c>
      <c r="I16" s="4">
        <v>0.0</v>
      </c>
      <c r="J16" s="4">
        <v>1.0</v>
      </c>
      <c r="K16" s="4">
        <v>0.0</v>
      </c>
      <c r="L16" s="4">
        <v>1.0</v>
      </c>
      <c r="M16" s="4">
        <v>0.96</v>
      </c>
    </row>
    <row r="17" ht="14.25" customHeight="1">
      <c r="A17" s="4" t="s">
        <v>73</v>
      </c>
      <c r="B17" s="4" t="s">
        <v>100</v>
      </c>
      <c r="C17" s="4">
        <v>10.0</v>
      </c>
      <c r="D17" s="4">
        <v>8.0</v>
      </c>
      <c r="E17" s="4">
        <v>0.0</v>
      </c>
      <c r="F17" s="4">
        <v>10.0</v>
      </c>
      <c r="G17" s="4">
        <v>7.0</v>
      </c>
      <c r="H17" s="4">
        <v>0.0</v>
      </c>
      <c r="I17" s="4">
        <v>0.0</v>
      </c>
      <c r="J17" s="4">
        <v>1.0</v>
      </c>
      <c r="K17" s="4">
        <v>0.0</v>
      </c>
      <c r="L17" s="4">
        <v>1.0</v>
      </c>
      <c r="M17" s="4">
        <v>0.94</v>
      </c>
    </row>
    <row r="18" ht="14.25" customHeight="1">
      <c r="A18" s="4" t="s">
        <v>53</v>
      </c>
      <c r="B18" s="4" t="s">
        <v>101</v>
      </c>
      <c r="C18" s="4">
        <v>18.0</v>
      </c>
      <c r="D18" s="4">
        <v>18.0</v>
      </c>
      <c r="E18" s="4">
        <v>9.0</v>
      </c>
      <c r="F18" s="4">
        <v>16.0</v>
      </c>
      <c r="G18" s="4">
        <v>18.0</v>
      </c>
      <c r="H18" s="4">
        <v>8.0</v>
      </c>
      <c r="I18" s="4">
        <v>2.0</v>
      </c>
      <c r="J18" s="4">
        <v>0.0</v>
      </c>
      <c r="K18" s="4">
        <v>1.0</v>
      </c>
      <c r="L18" s="4">
        <v>3.0</v>
      </c>
      <c r="M18" s="4">
        <v>0.93</v>
      </c>
    </row>
    <row r="19" ht="14.25" customHeight="1">
      <c r="A19" s="4" t="s">
        <v>73</v>
      </c>
      <c r="B19" s="4" t="s">
        <v>102</v>
      </c>
      <c r="C19" s="4">
        <v>18.0</v>
      </c>
      <c r="D19" s="4">
        <v>17.0</v>
      </c>
      <c r="E19" s="4">
        <v>8.0</v>
      </c>
      <c r="F19" s="4">
        <v>18.0</v>
      </c>
      <c r="G19" s="4">
        <v>14.0</v>
      </c>
      <c r="H19" s="4">
        <v>8.0</v>
      </c>
      <c r="I19" s="4">
        <v>0.0</v>
      </c>
      <c r="J19" s="4">
        <v>3.0</v>
      </c>
      <c r="K19" s="4">
        <v>0.0</v>
      </c>
      <c r="L19" s="4">
        <v>3.0</v>
      </c>
      <c r="M19" s="4">
        <v>0.93</v>
      </c>
    </row>
    <row r="20" ht="14.25" customHeight="1">
      <c r="A20" s="4" t="s">
        <v>53</v>
      </c>
      <c r="B20" s="4" t="s">
        <v>103</v>
      </c>
      <c r="C20" s="4">
        <v>7.0</v>
      </c>
      <c r="D20" s="4">
        <v>6.0</v>
      </c>
      <c r="E20" s="4">
        <v>0.0</v>
      </c>
      <c r="F20" s="4">
        <v>7.0</v>
      </c>
      <c r="G20" s="4">
        <v>5.0</v>
      </c>
      <c r="H20" s="4">
        <v>0.0</v>
      </c>
      <c r="I20" s="4">
        <v>0.0</v>
      </c>
      <c r="J20" s="4">
        <v>1.0</v>
      </c>
      <c r="K20" s="4">
        <v>0.0</v>
      </c>
      <c r="L20" s="4">
        <v>1.0</v>
      </c>
      <c r="M20" s="4">
        <v>0.92</v>
      </c>
    </row>
    <row r="21" ht="14.25" customHeight="1">
      <c r="A21" s="4" t="s">
        <v>53</v>
      </c>
      <c r="B21" s="4" t="s">
        <v>104</v>
      </c>
      <c r="C21" s="4">
        <v>23.0</v>
      </c>
      <c r="D21" s="4">
        <v>23.0</v>
      </c>
      <c r="E21" s="4">
        <v>12.0</v>
      </c>
      <c r="F21" s="4">
        <v>23.0</v>
      </c>
      <c r="G21" s="4">
        <v>18.0</v>
      </c>
      <c r="H21" s="4">
        <v>12.0</v>
      </c>
      <c r="I21" s="4">
        <v>0.0</v>
      </c>
      <c r="J21" s="4">
        <v>5.0</v>
      </c>
      <c r="K21" s="4">
        <v>0.0</v>
      </c>
      <c r="L21" s="4">
        <v>5.0</v>
      </c>
      <c r="M21" s="4">
        <v>0.91</v>
      </c>
    </row>
    <row r="22" ht="14.25" customHeight="1">
      <c r="A22" s="4" t="s">
        <v>53</v>
      </c>
      <c r="B22" s="4" t="s">
        <v>105</v>
      </c>
      <c r="C22" s="4">
        <v>9.0</v>
      </c>
      <c r="D22" s="4">
        <v>8.0</v>
      </c>
      <c r="E22" s="4">
        <v>5.0</v>
      </c>
      <c r="F22" s="4">
        <v>8.0</v>
      </c>
      <c r="G22" s="4">
        <v>7.0</v>
      </c>
      <c r="H22" s="4">
        <v>5.0</v>
      </c>
      <c r="I22" s="4">
        <v>1.0</v>
      </c>
      <c r="J22" s="4">
        <v>1.0</v>
      </c>
      <c r="K22" s="4">
        <v>0.0</v>
      </c>
      <c r="L22" s="4">
        <v>2.0</v>
      </c>
      <c r="M22" s="4">
        <v>0.91</v>
      </c>
    </row>
    <row r="23" ht="14.25" customHeight="1">
      <c r="A23" s="4" t="s">
        <v>53</v>
      </c>
      <c r="B23" s="4" t="s">
        <v>106</v>
      </c>
      <c r="C23" s="4">
        <v>8.0</v>
      </c>
      <c r="D23" s="4">
        <v>1.0</v>
      </c>
      <c r="E23" s="4">
        <v>0.0</v>
      </c>
      <c r="F23" s="4">
        <v>7.0</v>
      </c>
      <c r="G23" s="4">
        <v>1.0</v>
      </c>
      <c r="H23" s="4">
        <v>0.0</v>
      </c>
      <c r="I23" s="4">
        <v>1.0</v>
      </c>
      <c r="J23" s="4">
        <v>0.0</v>
      </c>
      <c r="K23" s="4">
        <v>0.0</v>
      </c>
      <c r="L23" s="4">
        <v>1.0</v>
      </c>
      <c r="M23" s="4">
        <v>0.89</v>
      </c>
    </row>
    <row r="24" ht="14.25" customHeight="1">
      <c r="A24" s="4" t="s">
        <v>73</v>
      </c>
      <c r="B24" s="4" t="s">
        <v>107</v>
      </c>
      <c r="C24" s="4">
        <v>12.0</v>
      </c>
      <c r="D24" s="4">
        <v>9.0</v>
      </c>
      <c r="E24" s="4">
        <v>5.0</v>
      </c>
      <c r="F24" s="4">
        <v>10.0</v>
      </c>
      <c r="G24" s="4">
        <v>8.0</v>
      </c>
      <c r="H24" s="4">
        <v>5.0</v>
      </c>
      <c r="I24" s="4">
        <v>2.0</v>
      </c>
      <c r="J24" s="4">
        <v>1.0</v>
      </c>
      <c r="K24" s="4">
        <v>0.0</v>
      </c>
      <c r="L24" s="4">
        <v>3.0</v>
      </c>
      <c r="M24" s="4">
        <v>0.88</v>
      </c>
    </row>
    <row r="25" ht="14.25" customHeight="1">
      <c r="A25" s="4" t="s">
        <v>53</v>
      </c>
      <c r="B25" s="4" t="s">
        <v>108</v>
      </c>
      <c r="C25" s="4">
        <v>9.0</v>
      </c>
      <c r="D25" s="4">
        <v>8.0</v>
      </c>
      <c r="E25" s="4">
        <v>0.0</v>
      </c>
      <c r="F25" s="4">
        <v>8.0</v>
      </c>
      <c r="G25" s="4">
        <v>7.0</v>
      </c>
      <c r="H25" s="4">
        <v>0.0</v>
      </c>
      <c r="I25" s="4">
        <v>1.0</v>
      </c>
      <c r="J25" s="4">
        <v>1.0</v>
      </c>
      <c r="K25" s="4">
        <v>0.0</v>
      </c>
      <c r="L25" s="4">
        <v>2.0</v>
      </c>
      <c r="M25" s="4">
        <v>0.88</v>
      </c>
    </row>
    <row r="26" ht="14.25" customHeight="1">
      <c r="A26" s="4" t="s">
        <v>73</v>
      </c>
      <c r="B26" s="4" t="s">
        <v>109</v>
      </c>
      <c r="C26" s="4">
        <v>8.0</v>
      </c>
      <c r="D26" s="4">
        <v>7.0</v>
      </c>
      <c r="E26" s="4">
        <v>0.0</v>
      </c>
      <c r="F26" s="4">
        <v>7.0</v>
      </c>
      <c r="G26" s="4">
        <v>6.0</v>
      </c>
      <c r="H26" s="4">
        <v>0.0</v>
      </c>
      <c r="I26" s="4">
        <v>1.0</v>
      </c>
      <c r="J26" s="4">
        <v>1.0</v>
      </c>
      <c r="K26" s="4">
        <v>0.0</v>
      </c>
      <c r="L26" s="4">
        <v>2.0</v>
      </c>
      <c r="M26" s="4">
        <v>0.87</v>
      </c>
    </row>
    <row r="27" ht="14.25" customHeight="1">
      <c r="A27" s="4" t="s">
        <v>73</v>
      </c>
      <c r="B27" s="4" t="s">
        <v>112</v>
      </c>
      <c r="C27" s="4">
        <v>11.0</v>
      </c>
      <c r="D27" s="4">
        <v>9.0</v>
      </c>
      <c r="E27" s="4">
        <v>5.0</v>
      </c>
      <c r="F27" s="4">
        <v>7.0</v>
      </c>
      <c r="G27" s="4">
        <v>9.0</v>
      </c>
      <c r="H27" s="4">
        <v>5.0</v>
      </c>
      <c r="I27" s="4">
        <v>4.0</v>
      </c>
      <c r="J27" s="4">
        <v>0.0</v>
      </c>
      <c r="K27" s="4">
        <v>0.0</v>
      </c>
      <c r="L27" s="4">
        <v>4.0</v>
      </c>
      <c r="M27" s="4">
        <v>0.84</v>
      </c>
    </row>
    <row r="28" ht="14.25" customHeight="1">
      <c r="A28" s="4" t="s">
        <v>53</v>
      </c>
      <c r="B28" s="4" t="s">
        <v>116</v>
      </c>
      <c r="C28" s="4">
        <v>2.0</v>
      </c>
      <c r="D28" s="4">
        <v>3.0</v>
      </c>
      <c r="E28" s="4">
        <v>1.0</v>
      </c>
      <c r="F28" s="4">
        <v>2.0</v>
      </c>
      <c r="G28" s="4">
        <v>2.0</v>
      </c>
      <c r="H28" s="4">
        <v>1.0</v>
      </c>
      <c r="I28" s="4">
        <v>0.0</v>
      </c>
      <c r="J28" s="4">
        <v>1.0</v>
      </c>
      <c r="K28" s="4">
        <v>0.0</v>
      </c>
      <c r="L28" s="4">
        <v>1.0</v>
      </c>
      <c r="M28" s="4">
        <v>0.83</v>
      </c>
    </row>
    <row r="29" ht="14.25" customHeight="1">
      <c r="A29" s="4" t="s">
        <v>53</v>
      </c>
      <c r="B29" s="4" t="s">
        <v>118</v>
      </c>
      <c r="C29" s="4">
        <v>4.0</v>
      </c>
      <c r="D29" s="4">
        <v>4.0</v>
      </c>
      <c r="E29" s="4">
        <v>0.0</v>
      </c>
      <c r="F29" s="4">
        <v>3.0</v>
      </c>
      <c r="G29" s="4">
        <v>3.0</v>
      </c>
      <c r="H29" s="4">
        <v>0.0</v>
      </c>
      <c r="I29" s="4">
        <v>1.0</v>
      </c>
      <c r="J29" s="4">
        <v>1.0</v>
      </c>
      <c r="K29" s="4">
        <v>0.0</v>
      </c>
      <c r="L29" s="4">
        <v>2.0</v>
      </c>
      <c r="M29" s="4">
        <v>0.75</v>
      </c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M$29"/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0"/>
    <col customWidth="1" min="2" max="2" width="30.0"/>
    <col customWidth="1" min="3" max="3" width="10.0"/>
    <col customWidth="1" min="4" max="26" width="8.86"/>
  </cols>
  <sheetData>
    <row r="1" ht="14.25" customHeight="1">
      <c r="A1" s="3" t="s">
        <v>3</v>
      </c>
      <c r="B1" s="3" t="s">
        <v>27</v>
      </c>
      <c r="C1" s="3" t="s">
        <v>32</v>
      </c>
    </row>
    <row r="2" ht="14.25" customHeight="1">
      <c r="A2" s="4" t="s">
        <v>38</v>
      </c>
      <c r="B2" s="4" t="s">
        <v>40</v>
      </c>
      <c r="C2" s="4">
        <v>45862.0</v>
      </c>
    </row>
    <row r="3" ht="14.25" customHeight="1">
      <c r="A3" s="4" t="s">
        <v>45</v>
      </c>
      <c r="B3" s="4" t="s">
        <v>40</v>
      </c>
      <c r="C3" s="4">
        <v>37330.0</v>
      </c>
    </row>
    <row r="4" ht="14.25" customHeight="1">
      <c r="A4" s="4" t="s">
        <v>49</v>
      </c>
      <c r="B4" s="4" t="s">
        <v>40</v>
      </c>
      <c r="C4" s="4">
        <v>33645.0</v>
      </c>
    </row>
    <row r="5" ht="14.25" customHeight="1">
      <c r="A5" s="4" t="s">
        <v>52</v>
      </c>
      <c r="B5" s="4" t="s">
        <v>40</v>
      </c>
      <c r="C5" s="4">
        <v>33266.0</v>
      </c>
    </row>
    <row r="6" ht="14.25" customHeight="1">
      <c r="A6" s="4" t="s">
        <v>54</v>
      </c>
      <c r="B6" s="4" t="s">
        <v>40</v>
      </c>
      <c r="C6" s="4">
        <v>57771.0</v>
      </c>
    </row>
    <row r="7" ht="14.25" customHeight="1">
      <c r="A7" s="4" t="s">
        <v>38</v>
      </c>
      <c r="B7" s="4" t="s">
        <v>57</v>
      </c>
      <c r="C7" s="4">
        <v>2507.0</v>
      </c>
    </row>
    <row r="8" ht="14.25" customHeight="1">
      <c r="A8" s="4" t="s">
        <v>45</v>
      </c>
      <c r="B8" s="4" t="s">
        <v>57</v>
      </c>
      <c r="C8" s="4">
        <v>3902.0</v>
      </c>
    </row>
    <row r="9" ht="14.25" customHeight="1">
      <c r="A9" s="4" t="s">
        <v>49</v>
      </c>
      <c r="B9" s="4" t="s">
        <v>57</v>
      </c>
      <c r="C9" s="4">
        <v>493.0</v>
      </c>
    </row>
    <row r="10" ht="14.25" customHeight="1">
      <c r="A10" s="4" t="s">
        <v>52</v>
      </c>
      <c r="B10" s="4" t="s">
        <v>57</v>
      </c>
      <c r="C10" s="4">
        <v>583.0</v>
      </c>
    </row>
    <row r="11" ht="14.25" customHeight="1">
      <c r="A11" s="4" t="s">
        <v>54</v>
      </c>
      <c r="B11" s="4" t="s">
        <v>57</v>
      </c>
      <c r="C11" s="4">
        <v>7080.0</v>
      </c>
    </row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C$11"/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5.57"/>
    <col customWidth="1" min="2" max="2" width="20.0"/>
    <col customWidth="1" min="3" max="3" width="21.0"/>
    <col customWidth="1" min="4" max="4" width="19.0"/>
    <col customWidth="1" min="5" max="6" width="13.0"/>
    <col customWidth="1" min="7" max="26" width="8.86"/>
  </cols>
  <sheetData>
    <row r="1" ht="14.25" customHeight="1">
      <c r="A1" s="3" t="s">
        <v>19</v>
      </c>
      <c r="B1" s="3" t="s">
        <v>110</v>
      </c>
      <c r="C1" s="3" t="s">
        <v>111</v>
      </c>
      <c r="D1" s="3" t="s">
        <v>113</v>
      </c>
      <c r="E1" s="3" t="s">
        <v>114</v>
      </c>
      <c r="F1" s="3" t="s">
        <v>115</v>
      </c>
    </row>
    <row r="2" ht="14.25" customHeight="1">
      <c r="A2" s="4" t="s">
        <v>117</v>
      </c>
      <c r="B2" s="5">
        <v>1.86</v>
      </c>
      <c r="C2" s="5">
        <v>2.95</v>
      </c>
      <c r="D2" s="5">
        <v>4.9</v>
      </c>
      <c r="E2" s="4">
        <v>4.7</v>
      </c>
      <c r="F2" s="4">
        <v>0.0</v>
      </c>
    </row>
    <row r="3" ht="14.25" customHeight="1">
      <c r="A3" s="4" t="s">
        <v>119</v>
      </c>
      <c r="B3" s="5">
        <v>1.98</v>
      </c>
      <c r="C3" s="5">
        <v>3.4</v>
      </c>
      <c r="D3" s="5">
        <v>5.4</v>
      </c>
      <c r="E3" s="5">
        <v>5.0</v>
      </c>
      <c r="F3" s="4">
        <v>0.0</v>
      </c>
    </row>
    <row r="4" ht="14.25" customHeight="1">
      <c r="A4" s="4" t="s">
        <v>120</v>
      </c>
      <c r="B4" s="5">
        <v>2.54</v>
      </c>
      <c r="C4" s="5">
        <v>4.1</v>
      </c>
      <c r="D4" s="5">
        <v>6.6</v>
      </c>
      <c r="E4" s="4">
        <v>4.8</v>
      </c>
      <c r="F4" s="4">
        <v>0.0</v>
      </c>
    </row>
    <row r="5" ht="14.25" customHeight="1">
      <c r="A5" s="4" t="s">
        <v>121</v>
      </c>
      <c r="B5" s="5">
        <v>2.77</v>
      </c>
      <c r="C5" s="5">
        <v>4.07</v>
      </c>
      <c r="D5" s="4">
        <v>6.9</v>
      </c>
      <c r="E5" s="4">
        <v>4.8</v>
      </c>
      <c r="F5" s="4">
        <v>0.0</v>
      </c>
    </row>
    <row r="6" ht="14.25" customHeight="1">
      <c r="A6" s="4" t="s">
        <v>122</v>
      </c>
      <c r="B6" s="5">
        <v>1.94</v>
      </c>
      <c r="C6" s="5">
        <v>4.34</v>
      </c>
      <c r="D6" s="5">
        <v>6.3</v>
      </c>
      <c r="E6" s="5">
        <v>4.8</v>
      </c>
      <c r="F6" s="4">
        <v>1.0</v>
      </c>
    </row>
    <row r="7" ht="14.25" customHeight="1">
      <c r="A7" s="4" t="s">
        <v>123</v>
      </c>
      <c r="B7" s="5">
        <v>3.14</v>
      </c>
      <c r="C7" s="5">
        <v>3.64</v>
      </c>
      <c r="D7" s="4">
        <v>6.8</v>
      </c>
      <c r="E7" s="4">
        <v>4.8</v>
      </c>
      <c r="F7" s="4">
        <v>1.0</v>
      </c>
    </row>
    <row r="8" ht="14.25" customHeight="1">
      <c r="A8" s="4" t="s">
        <v>124</v>
      </c>
      <c r="B8" s="5">
        <v>3.22</v>
      </c>
      <c r="C8" s="5">
        <v>4.53</v>
      </c>
      <c r="D8" s="5">
        <v>7.7</v>
      </c>
      <c r="E8" s="4">
        <v>4.6</v>
      </c>
      <c r="F8" s="4">
        <v>1.0</v>
      </c>
    </row>
    <row r="9" ht="14.25" customHeight="1">
      <c r="A9" s="4" t="s">
        <v>125</v>
      </c>
      <c r="B9" s="5">
        <v>2.8</v>
      </c>
      <c r="C9" s="5">
        <v>4.34</v>
      </c>
      <c r="D9" s="4">
        <v>7.1</v>
      </c>
      <c r="E9" s="4"/>
      <c r="F9" s="4">
        <v>0.0</v>
      </c>
    </row>
    <row r="10" ht="14.25" customHeight="1">
      <c r="A10" s="4" t="s">
        <v>126</v>
      </c>
      <c r="B10" s="5">
        <v>4.15</v>
      </c>
      <c r="C10" s="5">
        <v>3.48</v>
      </c>
      <c r="D10" s="5">
        <v>7.7</v>
      </c>
      <c r="E10" s="4">
        <v>4.4</v>
      </c>
      <c r="F10" s="4">
        <v>0.0</v>
      </c>
    </row>
    <row r="11" ht="14.25" customHeight="1">
      <c r="A11" s="4" t="s">
        <v>127</v>
      </c>
      <c r="B11" s="5">
        <v>1.7</v>
      </c>
      <c r="C11" s="5">
        <v>5.81</v>
      </c>
      <c r="D11" s="4">
        <v>7.4</v>
      </c>
      <c r="E11" s="4">
        <v>4.8</v>
      </c>
      <c r="F11" s="4">
        <v>0.0</v>
      </c>
    </row>
    <row r="12" ht="14.25" customHeight="1">
      <c r="A12" s="4" t="s">
        <v>128</v>
      </c>
      <c r="B12" s="5">
        <v>2.59</v>
      </c>
      <c r="C12" s="5">
        <v>4.38</v>
      </c>
      <c r="D12" s="5">
        <v>7.0</v>
      </c>
      <c r="E12" s="4">
        <v>4.8</v>
      </c>
      <c r="F12" s="4">
        <v>0.0</v>
      </c>
    </row>
    <row r="13" ht="14.25" customHeight="1">
      <c r="A13" s="4" t="s">
        <v>129</v>
      </c>
      <c r="B13" s="4">
        <v>4.23</v>
      </c>
      <c r="C13" s="4">
        <v>3.67</v>
      </c>
      <c r="D13" s="4">
        <v>7.9</v>
      </c>
      <c r="E13" s="4">
        <v>4.6</v>
      </c>
      <c r="F13" s="4">
        <v>0.0</v>
      </c>
    </row>
    <row r="14" ht="14.25" customHeight="1">
      <c r="A14" s="4" t="s">
        <v>130</v>
      </c>
      <c r="B14" s="5">
        <v>4.13</v>
      </c>
      <c r="C14" s="5">
        <v>4.17</v>
      </c>
      <c r="D14" s="4">
        <v>8.3</v>
      </c>
      <c r="E14" s="5">
        <v>3.8</v>
      </c>
      <c r="F14" s="4">
        <v>0.0</v>
      </c>
    </row>
    <row r="15" ht="14.25" customHeight="1">
      <c r="A15" s="4" t="s">
        <v>131</v>
      </c>
      <c r="B15" s="5">
        <v>1.94</v>
      </c>
      <c r="C15" s="5">
        <v>2.63</v>
      </c>
      <c r="D15" s="4">
        <v>4.6</v>
      </c>
      <c r="E15" s="5">
        <v>3.4</v>
      </c>
      <c r="F15" s="4">
        <v>1.0</v>
      </c>
    </row>
    <row r="16" ht="14.25" customHeight="1">
      <c r="A16" s="4" t="s">
        <v>132</v>
      </c>
      <c r="B16" s="5">
        <v>2.27</v>
      </c>
      <c r="C16" s="5">
        <v>3.76</v>
      </c>
      <c r="D16" s="5">
        <v>6.0</v>
      </c>
      <c r="E16" s="5">
        <v>4.4</v>
      </c>
      <c r="F16" s="4">
        <v>1.0</v>
      </c>
    </row>
    <row r="17" ht="14.25" customHeight="1">
      <c r="A17" s="4" t="s">
        <v>133</v>
      </c>
      <c r="B17" s="5">
        <v>4.31</v>
      </c>
      <c r="C17" s="5">
        <v>4.06</v>
      </c>
      <c r="D17" s="5">
        <v>8.4</v>
      </c>
      <c r="E17" s="5">
        <v>4.1</v>
      </c>
      <c r="F17" s="4">
        <v>1.0</v>
      </c>
    </row>
    <row r="18" ht="14.25" customHeight="1">
      <c r="A18" s="4" t="s">
        <v>134</v>
      </c>
      <c r="B18" s="5">
        <v>7.85</v>
      </c>
      <c r="C18" s="5">
        <v>6.7</v>
      </c>
      <c r="D18" s="5">
        <v>14.5</v>
      </c>
      <c r="E18" s="4">
        <v>3.4</v>
      </c>
      <c r="F18" s="4">
        <v>1.0</v>
      </c>
    </row>
    <row r="19" ht="14.25" customHeight="1">
      <c r="A19" s="4" t="s">
        <v>135</v>
      </c>
      <c r="B19" s="5">
        <v>5.53</v>
      </c>
      <c r="C19" s="5">
        <v>2.79</v>
      </c>
      <c r="D19" s="5">
        <v>8.2</v>
      </c>
      <c r="E19" s="5">
        <v>3.2</v>
      </c>
      <c r="F19" s="4">
        <v>0.0</v>
      </c>
    </row>
    <row r="20" ht="14.25" customHeight="1">
      <c r="A20" s="4" t="s">
        <v>136</v>
      </c>
      <c r="B20" s="5">
        <v>3.67</v>
      </c>
      <c r="C20" s="5">
        <v>6.13</v>
      </c>
      <c r="D20" s="5">
        <v>9.8</v>
      </c>
      <c r="E20" s="4">
        <v>5.0</v>
      </c>
      <c r="F20" s="4">
        <v>0.0</v>
      </c>
    </row>
    <row r="21" ht="14.25" customHeight="1">
      <c r="A21" s="4" t="s">
        <v>137</v>
      </c>
      <c r="B21" s="5">
        <v>7.01</v>
      </c>
      <c r="C21" s="5">
        <v>2.19</v>
      </c>
      <c r="D21" s="5">
        <v>9.3</v>
      </c>
      <c r="E21" s="4">
        <v>4.8</v>
      </c>
      <c r="F21" s="4">
        <v>0.0</v>
      </c>
    </row>
    <row r="22" ht="14.25" customHeight="1">
      <c r="A22" s="4" t="s">
        <v>138</v>
      </c>
      <c r="B22" s="5">
        <v>9.03</v>
      </c>
      <c r="C22" s="5">
        <v>7.46</v>
      </c>
      <c r="D22" s="5">
        <v>16.6</v>
      </c>
      <c r="E22" s="5">
        <v>4.2</v>
      </c>
      <c r="F22" s="4">
        <v>0.0</v>
      </c>
    </row>
    <row r="23" ht="14.25" customHeight="1">
      <c r="A23" s="4" t="s">
        <v>139</v>
      </c>
      <c r="B23" s="5">
        <v>4.72</v>
      </c>
      <c r="C23" s="5">
        <v>4.669</v>
      </c>
      <c r="D23" s="5">
        <v>9.4</v>
      </c>
      <c r="E23" s="5">
        <v>4.5</v>
      </c>
      <c r="F23" s="4">
        <v>0.0</v>
      </c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F$23"/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8.0"/>
    <col customWidth="1" min="2" max="2" width="16.0"/>
    <col customWidth="1" min="3" max="26" width="8.86"/>
  </cols>
  <sheetData>
    <row r="1" ht="14.25" customHeight="1">
      <c r="A1" s="3" t="s">
        <v>140</v>
      </c>
      <c r="B1" s="3" t="s">
        <v>141</v>
      </c>
    </row>
    <row r="2" ht="14.25" customHeight="1">
      <c r="A2" s="4" t="s">
        <v>142</v>
      </c>
      <c r="B2" s="4">
        <v>0.29</v>
      </c>
    </row>
    <row r="3" ht="14.25" customHeight="1">
      <c r="A3" s="4" t="s">
        <v>144</v>
      </c>
      <c r="B3" s="4">
        <v>0.28</v>
      </c>
    </row>
    <row r="4" ht="14.25" customHeight="1">
      <c r="A4" s="4" t="s">
        <v>146</v>
      </c>
      <c r="B4" s="5">
        <v>0.17</v>
      </c>
    </row>
    <row r="5" ht="14.25" customHeight="1">
      <c r="A5" s="4" t="s">
        <v>150</v>
      </c>
      <c r="B5" s="5">
        <v>0.13</v>
      </c>
    </row>
    <row r="6" ht="14.25" customHeight="1">
      <c r="A6" s="4" t="s">
        <v>152</v>
      </c>
      <c r="B6" s="4">
        <v>0.13</v>
      </c>
    </row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B$6"/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.43"/>
    <col customWidth="1" min="2" max="2" width="42.0"/>
    <col customWidth="1" min="3" max="3" width="25.0"/>
    <col customWidth="1" min="4" max="4" width="15.0"/>
    <col customWidth="1" min="5" max="5" width="13.0"/>
    <col customWidth="1" min="6" max="6" width="12.0"/>
    <col customWidth="1" min="7" max="7" width="19.0"/>
    <col customWidth="1" min="8" max="8" width="13.0"/>
    <col customWidth="1" min="9" max="27" width="8.86"/>
  </cols>
  <sheetData>
    <row r="1" ht="14.25" customHeight="1">
      <c r="A1" s="6"/>
      <c r="B1" s="3" t="s">
        <v>143</v>
      </c>
      <c r="C1" s="3" t="s">
        <v>145</v>
      </c>
      <c r="D1" s="3" t="s">
        <v>147</v>
      </c>
      <c r="E1" s="3" t="s">
        <v>148</v>
      </c>
      <c r="F1" s="3" t="s">
        <v>149</v>
      </c>
      <c r="G1" s="3" t="s">
        <v>151</v>
      </c>
      <c r="H1" s="3" t="s">
        <v>115</v>
      </c>
    </row>
    <row r="2" ht="14.25" customHeight="1">
      <c r="A2" s="5">
        <v>1.0</v>
      </c>
      <c r="B2" s="4" t="s">
        <v>153</v>
      </c>
      <c r="C2" s="5">
        <v>22.0</v>
      </c>
      <c r="D2" s="5">
        <v>12.0</v>
      </c>
      <c r="E2" s="5">
        <v>4510.0</v>
      </c>
      <c r="F2" s="5">
        <v>6058.0</v>
      </c>
      <c r="G2" s="5">
        <v>0.95</v>
      </c>
      <c r="H2" s="5">
        <v>0.0</v>
      </c>
    </row>
    <row r="3" ht="14.25" customHeight="1">
      <c r="A3" s="5">
        <v>2.0</v>
      </c>
      <c r="B3" s="4" t="s">
        <v>154</v>
      </c>
      <c r="C3" s="5">
        <v>24.0</v>
      </c>
      <c r="D3" s="5">
        <v>9.0</v>
      </c>
      <c r="E3" s="5">
        <v>4941.0</v>
      </c>
      <c r="F3" s="5">
        <v>6152.0</v>
      </c>
      <c r="G3" s="5">
        <v>0.93</v>
      </c>
      <c r="H3" s="5">
        <v>0.0</v>
      </c>
    </row>
    <row r="4" ht="14.25" customHeight="1">
      <c r="A4" s="5">
        <v>3.0</v>
      </c>
      <c r="B4" s="4" t="s">
        <v>155</v>
      </c>
      <c r="C4" s="5">
        <v>16.0</v>
      </c>
      <c r="D4" s="5">
        <v>7.0</v>
      </c>
      <c r="E4" s="5">
        <v>4886.0</v>
      </c>
      <c r="F4" s="5">
        <v>4453.0</v>
      </c>
      <c r="G4" s="5">
        <v>0.88</v>
      </c>
      <c r="H4" s="5">
        <v>0.0</v>
      </c>
    </row>
    <row r="5" ht="14.25" customHeight="1">
      <c r="A5" s="5">
        <v>4.0</v>
      </c>
      <c r="B5" s="4" t="s">
        <v>156</v>
      </c>
      <c r="C5" s="5">
        <v>53.0</v>
      </c>
      <c r="D5" s="5">
        <v>16.0</v>
      </c>
      <c r="E5" s="5">
        <v>9946.0</v>
      </c>
      <c r="F5" s="5">
        <v>10626.0</v>
      </c>
      <c r="G5" s="5">
        <v>0.84</v>
      </c>
      <c r="H5" s="5">
        <v>0.0</v>
      </c>
    </row>
    <row r="6" ht="14.25" customHeight="1">
      <c r="A6" s="5">
        <v>5.0</v>
      </c>
      <c r="B6" s="4" t="s">
        <v>157</v>
      </c>
      <c r="C6" s="5">
        <v>20.0</v>
      </c>
      <c r="D6" s="5">
        <v>15.0</v>
      </c>
      <c r="E6" s="5">
        <v>3518.0</v>
      </c>
      <c r="F6" s="5">
        <v>3385.0</v>
      </c>
      <c r="G6" s="5">
        <v>0.83</v>
      </c>
      <c r="H6" s="5">
        <v>0.0</v>
      </c>
    </row>
    <row r="7" ht="14.25" customHeight="1">
      <c r="A7" s="5">
        <v>6.0</v>
      </c>
      <c r="B7" s="4" t="s">
        <v>158</v>
      </c>
      <c r="C7" s="5">
        <v>65.0</v>
      </c>
      <c r="D7" s="5">
        <v>23.0</v>
      </c>
      <c r="E7" s="5">
        <v>13927.0</v>
      </c>
      <c r="F7" s="5">
        <v>14675.0</v>
      </c>
      <c r="G7" s="5">
        <v>0.81</v>
      </c>
      <c r="H7" s="5">
        <v>0.0</v>
      </c>
    </row>
    <row r="8" ht="14.25" customHeight="1">
      <c r="A8" s="5">
        <v>7.0</v>
      </c>
      <c r="B8" s="4" t="s">
        <v>159</v>
      </c>
      <c r="C8" s="5">
        <v>22.0</v>
      </c>
      <c r="D8" s="5">
        <v>9.0</v>
      </c>
      <c r="E8" s="5">
        <v>4347.0</v>
      </c>
      <c r="F8" s="5">
        <v>4774.0</v>
      </c>
      <c r="G8" s="5">
        <v>0.88</v>
      </c>
      <c r="H8" s="5">
        <v>1.0</v>
      </c>
    </row>
    <row r="9" ht="14.25" customHeight="1">
      <c r="A9" s="5">
        <v>8.0</v>
      </c>
      <c r="B9" s="4" t="s">
        <v>160</v>
      </c>
      <c r="C9" s="5">
        <v>32.0</v>
      </c>
      <c r="D9" s="5">
        <v>6.0</v>
      </c>
      <c r="E9" s="5">
        <v>6432.0</v>
      </c>
      <c r="F9" s="5">
        <v>7100.0</v>
      </c>
      <c r="G9" s="5">
        <v>0.85</v>
      </c>
      <c r="H9" s="5">
        <v>1.0</v>
      </c>
    </row>
    <row r="10" ht="14.25" customHeight="1">
      <c r="A10" s="5">
        <v>9.0</v>
      </c>
      <c r="B10" s="4" t="s">
        <v>161</v>
      </c>
      <c r="C10" s="5">
        <v>11.0</v>
      </c>
      <c r="D10" s="5">
        <v>10.0</v>
      </c>
      <c r="E10" s="5">
        <v>3148.0</v>
      </c>
      <c r="F10" s="5">
        <v>2801.0</v>
      </c>
      <c r="G10" s="5">
        <v>0.6</v>
      </c>
      <c r="H10" s="5">
        <v>1.0</v>
      </c>
    </row>
    <row r="11" ht="14.25" customHeight="1">
      <c r="A11" s="5">
        <v>10.0</v>
      </c>
      <c r="B11" s="4" t="s">
        <v>162</v>
      </c>
      <c r="C11" s="5">
        <v>17.0</v>
      </c>
      <c r="D11" s="5">
        <v>13.0</v>
      </c>
      <c r="E11" s="5">
        <v>4846.0</v>
      </c>
      <c r="F11" s="5">
        <v>4255.0</v>
      </c>
      <c r="G11" s="5">
        <v>0.8</v>
      </c>
      <c r="H11" s="5">
        <v>0.0</v>
      </c>
    </row>
    <row r="12" ht="14.25" customHeight="1">
      <c r="A12" s="5">
        <v>11.0</v>
      </c>
      <c r="B12" s="4" t="s">
        <v>163</v>
      </c>
      <c r="C12" s="5">
        <v>90.0</v>
      </c>
      <c r="D12" s="5">
        <v>33.0</v>
      </c>
      <c r="E12" s="5">
        <v>14178.0</v>
      </c>
      <c r="F12" s="5">
        <v>13744.0</v>
      </c>
      <c r="G12" s="5">
        <v>0.79</v>
      </c>
      <c r="H12" s="5">
        <v>0.0</v>
      </c>
    </row>
    <row r="13" ht="14.25" customHeight="1">
      <c r="A13" s="5">
        <v>12.0</v>
      </c>
      <c r="B13" s="4" t="s">
        <v>164</v>
      </c>
      <c r="C13" s="5">
        <v>19.0</v>
      </c>
      <c r="D13" s="5">
        <v>7.0</v>
      </c>
      <c r="E13" s="5">
        <v>5338.0</v>
      </c>
      <c r="F13" s="5">
        <v>5126.0</v>
      </c>
      <c r="G13" s="5">
        <v>0.96</v>
      </c>
      <c r="H13" s="5">
        <v>1.0</v>
      </c>
    </row>
    <row r="14" ht="14.25" customHeight="1">
      <c r="A14" s="5">
        <v>13.0</v>
      </c>
      <c r="B14" s="4" t="s">
        <v>165</v>
      </c>
      <c r="C14" s="5">
        <v>36.0</v>
      </c>
      <c r="D14" s="5">
        <v>9.0</v>
      </c>
      <c r="E14" s="5">
        <v>1930.0</v>
      </c>
      <c r="F14" s="5">
        <v>1884.0</v>
      </c>
      <c r="G14" s="5">
        <v>0.84</v>
      </c>
      <c r="H14" s="5">
        <v>1.0</v>
      </c>
    </row>
    <row r="15" ht="14.25" customHeight="1">
      <c r="A15" s="5">
        <v>14.0</v>
      </c>
      <c r="B15" s="4" t="s">
        <v>166</v>
      </c>
      <c r="C15" s="5">
        <v>13.0</v>
      </c>
      <c r="D15" s="5">
        <v>7.0</v>
      </c>
      <c r="E15" s="5">
        <v>3722.0</v>
      </c>
      <c r="F15" s="5">
        <v>3074.0</v>
      </c>
      <c r="G15" s="5">
        <v>0.82</v>
      </c>
      <c r="H15" s="5">
        <v>1.0</v>
      </c>
    </row>
    <row r="16" ht="14.25" customHeight="1">
      <c r="A16" s="5">
        <v>15.0</v>
      </c>
      <c r="B16" s="4" t="s">
        <v>167</v>
      </c>
      <c r="C16" s="5">
        <v>22.0</v>
      </c>
      <c r="D16" s="5">
        <v>12.0</v>
      </c>
      <c r="E16" s="5">
        <v>3188.0</v>
      </c>
      <c r="F16" s="5">
        <v>3660.0</v>
      </c>
      <c r="G16" s="5">
        <v>0.49</v>
      </c>
      <c r="H16" s="5">
        <v>1.0</v>
      </c>
    </row>
    <row r="17" ht="14.25" customHeight="1">
      <c r="A17" s="5">
        <v>16.0</v>
      </c>
      <c r="B17" s="4" t="s">
        <v>170</v>
      </c>
      <c r="C17" s="5">
        <v>42.0</v>
      </c>
      <c r="D17" s="5">
        <v>6.0</v>
      </c>
      <c r="E17" s="5">
        <v>9346.0</v>
      </c>
      <c r="F17" s="5">
        <v>10041.0</v>
      </c>
      <c r="G17" s="5">
        <v>0.78</v>
      </c>
      <c r="H17" s="5">
        <v>0.0</v>
      </c>
    </row>
    <row r="18" ht="14.25" customHeight="1">
      <c r="A18" s="5">
        <v>17.0</v>
      </c>
      <c r="B18" s="4" t="s">
        <v>175</v>
      </c>
      <c r="C18" s="5">
        <v>27.0</v>
      </c>
      <c r="D18" s="5">
        <v>6.0</v>
      </c>
      <c r="E18" s="5">
        <v>10503.0</v>
      </c>
      <c r="F18" s="5">
        <v>17449.0</v>
      </c>
      <c r="G18" s="5">
        <v>0.75</v>
      </c>
      <c r="H18" s="5">
        <v>0.0</v>
      </c>
    </row>
    <row r="19" ht="14.25" customHeight="1">
      <c r="A19" s="5">
        <v>18.0</v>
      </c>
      <c r="B19" s="4" t="s">
        <v>179</v>
      </c>
      <c r="C19" s="5">
        <v>38.0</v>
      </c>
      <c r="D19" s="5">
        <v>17.0</v>
      </c>
      <c r="E19" s="5">
        <v>4005.0</v>
      </c>
      <c r="F19" s="5">
        <v>3170.0</v>
      </c>
      <c r="G19" s="5">
        <v>0.74</v>
      </c>
      <c r="H19" s="5">
        <v>0.0</v>
      </c>
    </row>
    <row r="20" ht="14.25" customHeight="1">
      <c r="A20" s="5">
        <v>19.0</v>
      </c>
      <c r="B20" s="4" t="s">
        <v>180</v>
      </c>
      <c r="C20" s="5">
        <v>21.0</v>
      </c>
      <c r="D20" s="5">
        <v>8.0</v>
      </c>
      <c r="E20" s="5">
        <v>6594.0</v>
      </c>
      <c r="F20" s="5">
        <v>5592.0</v>
      </c>
      <c r="G20" s="5">
        <v>0.65</v>
      </c>
      <c r="H20" s="5">
        <v>0.0</v>
      </c>
    </row>
    <row r="21" ht="14.25" customHeight="1">
      <c r="A21" s="5">
        <v>20.0</v>
      </c>
      <c r="B21" s="4" t="s">
        <v>181</v>
      </c>
      <c r="C21" s="5">
        <v>31.0</v>
      </c>
      <c r="D21" s="5">
        <v>13.0</v>
      </c>
      <c r="E21" s="5">
        <v>4726.0</v>
      </c>
      <c r="F21" s="5">
        <v>3236.0</v>
      </c>
      <c r="G21" s="5">
        <v>0.63</v>
      </c>
      <c r="H21" s="5">
        <v>0.0</v>
      </c>
    </row>
    <row r="22" ht="14.25" customHeight="1">
      <c r="A22" s="5">
        <v>21.0</v>
      </c>
      <c r="B22" s="4" t="s">
        <v>182</v>
      </c>
      <c r="C22" s="5">
        <v>17.0</v>
      </c>
      <c r="D22" s="5">
        <v>10.0</v>
      </c>
      <c r="E22" s="5">
        <v>10200.0</v>
      </c>
      <c r="F22" s="5">
        <v>6762.0</v>
      </c>
      <c r="G22" s="5">
        <v>0.6</v>
      </c>
      <c r="H22" s="5">
        <v>0.0</v>
      </c>
    </row>
    <row r="23" ht="14.25" customHeight="1">
      <c r="A23" s="5">
        <v>22.0</v>
      </c>
      <c r="B23" s="4" t="s">
        <v>185</v>
      </c>
      <c r="C23" s="5">
        <v>66.0</v>
      </c>
      <c r="D23" s="5">
        <v>6.0</v>
      </c>
      <c r="E23" s="5">
        <v>12426.0</v>
      </c>
      <c r="F23" s="5">
        <v>2643.0</v>
      </c>
      <c r="G23" s="5">
        <v>0.2</v>
      </c>
      <c r="H23" s="5">
        <v>0.0</v>
      </c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H$23">
    <sortState ref="A1:H23">
      <sortCondition ref="A1:A23"/>
    </sortState>
  </autoFilter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5.0"/>
    <col customWidth="1" min="2" max="2" width="13.0"/>
    <col customWidth="1" min="3" max="3" width="18.0"/>
    <col customWidth="1" min="4" max="4" width="21.0"/>
    <col customWidth="1" min="5" max="5" width="25.0"/>
    <col customWidth="1" min="6" max="7" width="20.0"/>
    <col customWidth="1" min="8" max="26" width="8.86"/>
  </cols>
  <sheetData>
    <row r="1" ht="14.25" customHeight="1">
      <c r="A1" s="3" t="s">
        <v>168</v>
      </c>
      <c r="B1" s="3" t="s">
        <v>169</v>
      </c>
      <c r="C1" s="3" t="s">
        <v>171</v>
      </c>
      <c r="D1" s="3" t="s">
        <v>172</v>
      </c>
      <c r="E1" s="3" t="s">
        <v>173</v>
      </c>
      <c r="F1" s="3" t="s">
        <v>174</v>
      </c>
      <c r="G1" s="3" t="s">
        <v>176</v>
      </c>
      <c r="H1" s="3" t="s">
        <v>177</v>
      </c>
    </row>
    <row r="2" ht="14.25" customHeight="1">
      <c r="A2" s="4" t="s">
        <v>178</v>
      </c>
      <c r="B2" s="4" t="s">
        <v>88</v>
      </c>
      <c r="C2" s="4">
        <v>0.98</v>
      </c>
      <c r="D2" s="4">
        <v>0.95</v>
      </c>
      <c r="E2" s="4">
        <f t="shared" ref="E2:E20" si="1">AVERAGE(C2:D2)</f>
        <v>0.965</v>
      </c>
      <c r="F2" s="4" t="s">
        <v>183</v>
      </c>
      <c r="G2" s="4" t="s">
        <v>184</v>
      </c>
      <c r="H2" s="4" t="s">
        <v>184</v>
      </c>
    </row>
    <row r="3" ht="14.25" customHeight="1">
      <c r="A3" s="4" t="s">
        <v>186</v>
      </c>
      <c r="B3" s="4" t="s">
        <v>88</v>
      </c>
      <c r="C3" s="4">
        <v>1.0</v>
      </c>
      <c r="D3" s="4">
        <v>1.0</v>
      </c>
      <c r="E3" s="4">
        <f t="shared" si="1"/>
        <v>1</v>
      </c>
      <c r="F3" s="7" t="s">
        <v>187</v>
      </c>
      <c r="G3" s="4" t="s">
        <v>188</v>
      </c>
      <c r="H3" s="4" t="s">
        <v>184</v>
      </c>
    </row>
    <row r="4" ht="14.25" customHeight="1">
      <c r="A4" s="4" t="s">
        <v>189</v>
      </c>
      <c r="B4" s="4" t="s">
        <v>88</v>
      </c>
      <c r="C4" s="4">
        <v>1.0</v>
      </c>
      <c r="D4" s="4">
        <v>0.5</v>
      </c>
      <c r="E4" s="4">
        <f t="shared" si="1"/>
        <v>0.75</v>
      </c>
      <c r="F4" s="4" t="s">
        <v>183</v>
      </c>
      <c r="G4" s="4" t="s">
        <v>184</v>
      </c>
      <c r="H4" s="4" t="s">
        <v>184</v>
      </c>
    </row>
    <row r="5" ht="14.25" customHeight="1">
      <c r="A5" s="4" t="s">
        <v>190</v>
      </c>
      <c r="B5" s="4" t="s">
        <v>88</v>
      </c>
      <c r="C5" s="4">
        <v>0.97</v>
      </c>
      <c r="D5" s="4">
        <v>0.95</v>
      </c>
      <c r="E5" s="4">
        <f t="shared" si="1"/>
        <v>0.96</v>
      </c>
      <c r="F5" s="4" t="s">
        <v>191</v>
      </c>
      <c r="G5" s="4" t="s">
        <v>184</v>
      </c>
      <c r="H5" s="4" t="s">
        <v>184</v>
      </c>
    </row>
    <row r="6" ht="14.25" customHeight="1">
      <c r="A6" s="5" t="s">
        <v>192</v>
      </c>
      <c r="B6" s="4" t="s">
        <v>88</v>
      </c>
      <c r="C6" s="5">
        <v>0.95</v>
      </c>
      <c r="D6" s="5">
        <v>0.76</v>
      </c>
      <c r="E6" s="4">
        <f t="shared" si="1"/>
        <v>0.855</v>
      </c>
      <c r="F6" s="4" t="s">
        <v>191</v>
      </c>
      <c r="G6" s="4" t="s">
        <v>184</v>
      </c>
      <c r="H6" s="4" t="s">
        <v>184</v>
      </c>
    </row>
    <row r="7" ht="14.25" customHeight="1">
      <c r="A7" s="4" t="s">
        <v>193</v>
      </c>
      <c r="B7" s="4" t="s">
        <v>88</v>
      </c>
      <c r="C7" s="5">
        <v>0.71</v>
      </c>
      <c r="D7" s="5">
        <v>0.0</v>
      </c>
      <c r="E7" s="4">
        <f t="shared" si="1"/>
        <v>0.355</v>
      </c>
      <c r="F7" s="4" t="s">
        <v>194</v>
      </c>
      <c r="G7" s="4" t="s">
        <v>184</v>
      </c>
      <c r="H7" s="4" t="s">
        <v>184</v>
      </c>
    </row>
    <row r="8" ht="14.25" customHeight="1">
      <c r="A8" s="4" t="s">
        <v>195</v>
      </c>
      <c r="B8" s="4" t="s">
        <v>88</v>
      </c>
      <c r="C8" s="4">
        <v>0.15</v>
      </c>
      <c r="D8" s="4">
        <v>0.0</v>
      </c>
      <c r="E8" s="4">
        <f t="shared" si="1"/>
        <v>0.075</v>
      </c>
      <c r="F8" s="4" t="s">
        <v>196</v>
      </c>
      <c r="G8" s="4" t="s">
        <v>184</v>
      </c>
      <c r="H8" s="4" t="s">
        <v>184</v>
      </c>
    </row>
    <row r="9" ht="14.25" customHeight="1">
      <c r="A9" s="4" t="s">
        <v>197</v>
      </c>
      <c r="B9" s="4" t="s">
        <v>88</v>
      </c>
      <c r="C9" s="4">
        <v>0.15</v>
      </c>
      <c r="D9" s="4">
        <v>0.0</v>
      </c>
      <c r="E9" s="4">
        <f t="shared" si="1"/>
        <v>0.075</v>
      </c>
      <c r="F9" s="4" t="s">
        <v>198</v>
      </c>
      <c r="G9" s="4" t="s">
        <v>184</v>
      </c>
      <c r="H9" s="4" t="s">
        <v>184</v>
      </c>
    </row>
    <row r="10" ht="14.25" customHeight="1">
      <c r="A10" s="4" t="s">
        <v>200</v>
      </c>
      <c r="B10" s="4" t="s">
        <v>202</v>
      </c>
      <c r="C10" s="4">
        <v>0.0</v>
      </c>
      <c r="D10" s="4">
        <v>0.0</v>
      </c>
      <c r="E10" s="4">
        <f t="shared" si="1"/>
        <v>0</v>
      </c>
      <c r="F10" s="4" t="s">
        <v>204</v>
      </c>
      <c r="G10" s="4" t="s">
        <v>184</v>
      </c>
      <c r="H10" s="4" t="s">
        <v>184</v>
      </c>
    </row>
    <row r="11" ht="14.25" customHeight="1">
      <c r="A11" s="4" t="s">
        <v>205</v>
      </c>
      <c r="B11" s="4" t="s">
        <v>202</v>
      </c>
      <c r="C11" s="4">
        <v>0.0</v>
      </c>
      <c r="D11" s="4">
        <v>0.0</v>
      </c>
      <c r="E11" s="4">
        <f t="shared" si="1"/>
        <v>0</v>
      </c>
      <c r="F11" s="4" t="s">
        <v>208</v>
      </c>
      <c r="G11" s="4" t="s">
        <v>184</v>
      </c>
      <c r="H11" s="4" t="s">
        <v>184</v>
      </c>
    </row>
    <row r="12" ht="14.25" customHeight="1">
      <c r="A12" s="4" t="s">
        <v>210</v>
      </c>
      <c r="B12" s="4" t="s">
        <v>202</v>
      </c>
      <c r="C12" s="4">
        <v>0.0</v>
      </c>
      <c r="D12" s="4">
        <v>0.0</v>
      </c>
      <c r="E12" s="4">
        <f t="shared" si="1"/>
        <v>0</v>
      </c>
      <c r="F12" s="4" t="s">
        <v>208</v>
      </c>
      <c r="G12" s="4" t="s">
        <v>184</v>
      </c>
      <c r="H12" s="4" t="s">
        <v>184</v>
      </c>
    </row>
    <row r="13" ht="14.25" customHeight="1">
      <c r="A13" s="4" t="s">
        <v>212</v>
      </c>
      <c r="B13" s="4" t="s">
        <v>202</v>
      </c>
      <c r="C13" s="4">
        <v>0.0</v>
      </c>
      <c r="D13" s="4">
        <v>0.0</v>
      </c>
      <c r="E13" s="4">
        <f t="shared" si="1"/>
        <v>0</v>
      </c>
      <c r="F13" s="4" t="s">
        <v>196</v>
      </c>
      <c r="G13" s="4" t="s">
        <v>184</v>
      </c>
      <c r="H13" s="4" t="s">
        <v>184</v>
      </c>
    </row>
    <row r="14" ht="14.25" customHeight="1">
      <c r="A14" s="4" t="s">
        <v>213</v>
      </c>
      <c r="B14" s="4" t="s">
        <v>202</v>
      </c>
      <c r="C14" s="4">
        <v>0.0</v>
      </c>
      <c r="D14" s="4">
        <v>0.0</v>
      </c>
      <c r="E14" s="4">
        <f t="shared" si="1"/>
        <v>0</v>
      </c>
      <c r="F14" s="4" t="s">
        <v>208</v>
      </c>
      <c r="G14" s="4" t="s">
        <v>184</v>
      </c>
      <c r="H14" s="4" t="s">
        <v>184</v>
      </c>
    </row>
    <row r="15" ht="14.25" customHeight="1">
      <c r="A15" s="4" t="s">
        <v>217</v>
      </c>
      <c r="B15" s="4" t="s">
        <v>202</v>
      </c>
      <c r="C15" s="4">
        <v>0.0</v>
      </c>
      <c r="D15" s="4">
        <v>0.0</v>
      </c>
      <c r="E15" s="4">
        <f t="shared" si="1"/>
        <v>0</v>
      </c>
      <c r="F15" s="4" t="s">
        <v>198</v>
      </c>
      <c r="G15" s="4" t="s">
        <v>184</v>
      </c>
      <c r="H15" s="4" t="s">
        <v>184</v>
      </c>
    </row>
    <row r="16" ht="14.25" customHeight="1">
      <c r="A16" s="4" t="s">
        <v>221</v>
      </c>
      <c r="B16" s="4" t="s">
        <v>202</v>
      </c>
      <c r="C16" s="4">
        <v>0.0</v>
      </c>
      <c r="D16" s="4">
        <v>0.0</v>
      </c>
      <c r="E16" s="4">
        <f t="shared" si="1"/>
        <v>0</v>
      </c>
      <c r="F16" s="4" t="s">
        <v>198</v>
      </c>
      <c r="G16" s="4" t="s">
        <v>184</v>
      </c>
      <c r="H16" s="4" t="s">
        <v>184</v>
      </c>
    </row>
    <row r="17" ht="14.25" customHeight="1">
      <c r="A17" s="4" t="s">
        <v>225</v>
      </c>
      <c r="B17" s="4" t="s">
        <v>202</v>
      </c>
      <c r="C17" s="4">
        <v>0.0</v>
      </c>
      <c r="D17" s="4">
        <v>0.0</v>
      </c>
      <c r="E17" s="4">
        <f t="shared" si="1"/>
        <v>0</v>
      </c>
      <c r="F17" s="4" t="s">
        <v>198</v>
      </c>
      <c r="G17" s="4" t="s">
        <v>184</v>
      </c>
      <c r="H17" s="4" t="s">
        <v>184</v>
      </c>
    </row>
    <row r="18" ht="14.25" customHeight="1">
      <c r="A18" s="4" t="s">
        <v>227</v>
      </c>
      <c r="B18" s="4" t="s">
        <v>202</v>
      </c>
      <c r="C18" s="4">
        <v>0.0</v>
      </c>
      <c r="D18" s="4">
        <v>0.0</v>
      </c>
      <c r="E18" s="4">
        <f t="shared" si="1"/>
        <v>0</v>
      </c>
      <c r="F18" s="4" t="s">
        <v>198</v>
      </c>
      <c r="G18" s="4" t="s">
        <v>184</v>
      </c>
      <c r="H18" s="4" t="s">
        <v>184</v>
      </c>
    </row>
    <row r="19" ht="14.25" customHeight="1">
      <c r="A19" s="4" t="s">
        <v>229</v>
      </c>
      <c r="B19" s="4" t="s">
        <v>202</v>
      </c>
      <c r="C19" s="4">
        <v>0.0</v>
      </c>
      <c r="D19" s="4">
        <v>0.0</v>
      </c>
      <c r="E19" s="4">
        <f t="shared" si="1"/>
        <v>0</v>
      </c>
      <c r="F19" s="4" t="s">
        <v>198</v>
      </c>
      <c r="G19" s="4" t="s">
        <v>184</v>
      </c>
      <c r="H19" s="4" t="s">
        <v>184</v>
      </c>
    </row>
    <row r="20" ht="14.25" customHeight="1">
      <c r="A20" s="4" t="s">
        <v>232</v>
      </c>
      <c r="B20" s="4" t="s">
        <v>202</v>
      </c>
      <c r="C20" s="4">
        <v>0.0</v>
      </c>
      <c r="D20" s="4">
        <v>0.0</v>
      </c>
      <c r="E20" s="4">
        <f t="shared" si="1"/>
        <v>0</v>
      </c>
      <c r="F20" s="4" t="s">
        <v>198</v>
      </c>
      <c r="G20" s="4" t="s">
        <v>184</v>
      </c>
      <c r="H20" s="4" t="s">
        <v>184</v>
      </c>
    </row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G$20"/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0"/>
    <col customWidth="1" min="2" max="2" width="21.0"/>
    <col customWidth="1" min="3" max="3" width="18.0"/>
    <col customWidth="1" min="4" max="14" width="10.0"/>
    <col customWidth="1" min="15" max="28" width="8.86"/>
  </cols>
  <sheetData>
    <row r="1" ht="14.25" customHeight="1">
      <c r="A1" s="3" t="s">
        <v>19</v>
      </c>
      <c r="B1" s="3" t="s">
        <v>199</v>
      </c>
      <c r="C1" s="3" t="s">
        <v>201</v>
      </c>
      <c r="D1" s="3" t="s">
        <v>203</v>
      </c>
      <c r="E1" s="3" t="s">
        <v>206</v>
      </c>
      <c r="F1" s="3" t="s">
        <v>207</v>
      </c>
      <c r="G1" s="3" t="s">
        <v>209</v>
      </c>
      <c r="H1" s="8" t="s">
        <v>211</v>
      </c>
      <c r="I1" s="8" t="s">
        <v>214</v>
      </c>
      <c r="J1" s="3" t="s">
        <v>215</v>
      </c>
      <c r="K1" s="3" t="s">
        <v>216</v>
      </c>
      <c r="L1" s="3" t="s">
        <v>218</v>
      </c>
      <c r="M1" s="8" t="s">
        <v>219</v>
      </c>
      <c r="N1" s="3" t="s">
        <v>220</v>
      </c>
    </row>
    <row r="2" ht="14.25" customHeight="1">
      <c r="A2" s="4" t="s">
        <v>222</v>
      </c>
      <c r="B2" s="9"/>
      <c r="C2" s="9"/>
      <c r="D2" s="4">
        <v>0.0</v>
      </c>
      <c r="E2" s="4">
        <v>0.0</v>
      </c>
      <c r="F2" s="4">
        <v>1.0</v>
      </c>
      <c r="G2" s="4">
        <v>0.0</v>
      </c>
      <c r="H2" s="5">
        <v>0.0</v>
      </c>
      <c r="I2" s="5">
        <v>0.0</v>
      </c>
      <c r="J2" s="5">
        <v>0.0</v>
      </c>
      <c r="K2" s="5">
        <v>3.0</v>
      </c>
      <c r="L2" s="4">
        <v>0.0</v>
      </c>
      <c r="M2" s="5">
        <v>0.0</v>
      </c>
      <c r="N2" s="4">
        <v>4.0</v>
      </c>
    </row>
    <row r="3" ht="14.25" customHeight="1">
      <c r="A3" s="4" t="s">
        <v>223</v>
      </c>
      <c r="B3" s="9"/>
      <c r="C3" s="9"/>
      <c r="D3" s="4">
        <v>0.0</v>
      </c>
      <c r="E3" s="4">
        <v>0.0</v>
      </c>
      <c r="F3" s="4">
        <v>1.0</v>
      </c>
      <c r="G3" s="4">
        <v>7.0</v>
      </c>
      <c r="H3" s="5">
        <v>0.0</v>
      </c>
      <c r="I3" s="5">
        <v>6.0</v>
      </c>
      <c r="J3" s="5">
        <v>1.0</v>
      </c>
      <c r="K3" s="5">
        <v>18.0</v>
      </c>
      <c r="L3" s="4">
        <v>6.0</v>
      </c>
      <c r="M3" s="5">
        <v>3.0</v>
      </c>
      <c r="N3" s="5">
        <v>42.0</v>
      </c>
    </row>
    <row r="4" ht="14.25" customHeight="1">
      <c r="A4" s="4" t="s">
        <v>224</v>
      </c>
      <c r="B4" s="9"/>
      <c r="C4" s="9"/>
      <c r="D4" s="4">
        <v>3.0</v>
      </c>
      <c r="E4" s="4">
        <v>0.0</v>
      </c>
      <c r="F4" s="4">
        <v>1.0</v>
      </c>
      <c r="G4" s="4">
        <v>2.0</v>
      </c>
      <c r="H4" s="5">
        <v>0.0</v>
      </c>
      <c r="I4" s="5">
        <v>2.0</v>
      </c>
      <c r="J4" s="5">
        <v>2.0</v>
      </c>
      <c r="K4" s="5">
        <v>4.0</v>
      </c>
      <c r="L4" s="5">
        <v>3.0</v>
      </c>
      <c r="M4" s="5">
        <v>1.0</v>
      </c>
      <c r="N4" s="5">
        <v>18.0</v>
      </c>
    </row>
    <row r="5" ht="14.25" customHeight="1">
      <c r="A5" s="4" t="s">
        <v>226</v>
      </c>
      <c r="B5" s="9"/>
      <c r="C5" s="9"/>
      <c r="D5" s="4">
        <v>1.0</v>
      </c>
      <c r="E5" s="4">
        <v>0.0</v>
      </c>
      <c r="F5" s="4">
        <v>1.0</v>
      </c>
      <c r="G5" s="4">
        <v>3.0</v>
      </c>
      <c r="H5" s="5">
        <v>0.0</v>
      </c>
      <c r="I5" s="5">
        <v>1.0</v>
      </c>
      <c r="J5" s="5">
        <v>1.0</v>
      </c>
      <c r="K5" s="5">
        <v>2.0</v>
      </c>
      <c r="L5" s="5">
        <v>1.0</v>
      </c>
      <c r="M5" s="5">
        <v>1.0</v>
      </c>
      <c r="N5" s="5">
        <v>11.0</v>
      </c>
    </row>
    <row r="6" ht="14.25" customHeight="1">
      <c r="A6" s="4" t="s">
        <v>228</v>
      </c>
      <c r="B6" s="9"/>
      <c r="C6" s="9"/>
      <c r="D6" s="4">
        <v>3.0</v>
      </c>
      <c r="E6" s="4">
        <v>0.0</v>
      </c>
      <c r="F6" s="4">
        <v>1.0</v>
      </c>
      <c r="G6" s="4">
        <v>3.0</v>
      </c>
      <c r="H6" s="5">
        <v>0.0</v>
      </c>
      <c r="I6" s="5">
        <v>0.0</v>
      </c>
      <c r="J6" s="4">
        <v>1.0</v>
      </c>
      <c r="K6" s="5">
        <v>2.0</v>
      </c>
      <c r="L6" s="5">
        <v>2.0</v>
      </c>
      <c r="M6" s="5">
        <v>1.0</v>
      </c>
      <c r="N6" s="5">
        <v>13.0</v>
      </c>
    </row>
    <row r="7" ht="14.25" customHeight="1">
      <c r="A7" s="4" t="s">
        <v>231</v>
      </c>
      <c r="B7" s="9"/>
      <c r="C7" s="9"/>
      <c r="D7" s="4">
        <v>0.0</v>
      </c>
      <c r="E7" s="4">
        <v>0.0</v>
      </c>
      <c r="F7" s="4">
        <v>2.0</v>
      </c>
      <c r="G7" s="4">
        <v>2.0</v>
      </c>
      <c r="H7" s="5">
        <v>0.0</v>
      </c>
      <c r="I7" s="5">
        <v>2.0</v>
      </c>
      <c r="J7" s="4">
        <v>1.0</v>
      </c>
      <c r="K7" s="5">
        <v>2.0</v>
      </c>
      <c r="L7" s="5">
        <v>2.0</v>
      </c>
      <c r="M7" s="5">
        <v>1.0</v>
      </c>
      <c r="N7" s="5">
        <v>12.0</v>
      </c>
    </row>
    <row r="8" ht="14.25" customHeight="1">
      <c r="A8" s="4" t="s">
        <v>234</v>
      </c>
      <c r="B8" s="9"/>
      <c r="C8" s="9"/>
      <c r="D8" s="4">
        <v>0.0</v>
      </c>
      <c r="E8" s="4">
        <v>0.0</v>
      </c>
      <c r="F8" s="4">
        <v>0.0</v>
      </c>
      <c r="G8" s="4">
        <v>0.0</v>
      </c>
      <c r="H8" s="5">
        <v>0.0</v>
      </c>
      <c r="I8" s="5">
        <v>0.0</v>
      </c>
      <c r="J8" s="5">
        <v>0.0</v>
      </c>
      <c r="K8" s="5">
        <v>1.0</v>
      </c>
      <c r="L8" s="5">
        <v>1.0</v>
      </c>
      <c r="M8" s="5">
        <v>1.0</v>
      </c>
      <c r="N8" s="5">
        <v>3.0</v>
      </c>
    </row>
    <row r="9" ht="14.25" customHeight="1">
      <c r="A9" s="4" t="s">
        <v>236</v>
      </c>
      <c r="B9" s="9"/>
      <c r="C9" s="9"/>
      <c r="D9" s="4">
        <v>7.0</v>
      </c>
      <c r="E9" s="4">
        <v>1.0</v>
      </c>
      <c r="F9" s="4">
        <v>6.0</v>
      </c>
      <c r="G9" s="4">
        <v>5.0</v>
      </c>
      <c r="H9" s="5">
        <v>3.0</v>
      </c>
      <c r="I9" s="5">
        <v>6.0</v>
      </c>
      <c r="J9" s="5">
        <v>5.0</v>
      </c>
      <c r="K9" s="5">
        <v>19.0</v>
      </c>
      <c r="L9" s="4">
        <v>7.0</v>
      </c>
      <c r="M9" s="5">
        <v>4.0</v>
      </c>
      <c r="N9" s="5">
        <v>63.0</v>
      </c>
    </row>
    <row r="10" ht="14.25" customHeight="1">
      <c r="A10" s="4" t="s">
        <v>237</v>
      </c>
      <c r="B10" s="9"/>
      <c r="C10" s="9"/>
      <c r="D10" s="4">
        <v>3.0</v>
      </c>
      <c r="E10" s="4">
        <v>0.0</v>
      </c>
      <c r="F10" s="4">
        <v>0.0</v>
      </c>
      <c r="G10" s="4">
        <v>1.0</v>
      </c>
      <c r="H10" s="5">
        <v>0.0</v>
      </c>
      <c r="I10" s="5">
        <v>1.0</v>
      </c>
      <c r="J10" s="5">
        <v>1.0</v>
      </c>
      <c r="K10" s="5">
        <v>4.0</v>
      </c>
      <c r="L10" s="5">
        <v>1.0</v>
      </c>
      <c r="M10" s="5">
        <v>1.0</v>
      </c>
      <c r="N10" s="5">
        <v>12.0</v>
      </c>
    </row>
    <row r="11" ht="14.25" customHeight="1">
      <c r="A11" s="4" t="s">
        <v>238</v>
      </c>
      <c r="B11" s="9"/>
      <c r="C11" s="9"/>
      <c r="D11" s="4">
        <v>2.0</v>
      </c>
      <c r="E11" s="4">
        <v>0.0</v>
      </c>
      <c r="F11" s="4">
        <v>0.0</v>
      </c>
      <c r="G11" s="4">
        <v>1.0</v>
      </c>
      <c r="H11" s="5">
        <v>0.0</v>
      </c>
      <c r="I11" s="5">
        <v>1.0</v>
      </c>
      <c r="J11" s="5">
        <v>2.0</v>
      </c>
      <c r="K11" s="5">
        <v>2.0</v>
      </c>
      <c r="L11" s="5">
        <v>4.0</v>
      </c>
      <c r="M11" s="5">
        <v>1.0</v>
      </c>
      <c r="N11" s="5">
        <v>13.0</v>
      </c>
    </row>
    <row r="12" ht="14.25" customHeight="1">
      <c r="A12" s="4" t="s">
        <v>239</v>
      </c>
      <c r="B12" s="9"/>
      <c r="C12" s="9"/>
      <c r="D12" s="4">
        <v>5.0</v>
      </c>
      <c r="E12" s="4">
        <v>1.0</v>
      </c>
      <c r="F12" s="4">
        <v>0.0</v>
      </c>
      <c r="G12" s="4">
        <v>1.0</v>
      </c>
      <c r="H12" s="5">
        <v>0.0</v>
      </c>
      <c r="I12" s="5">
        <v>1.0</v>
      </c>
      <c r="J12" s="5">
        <v>0.0</v>
      </c>
      <c r="K12" s="5">
        <v>3.0</v>
      </c>
      <c r="L12" s="5">
        <v>2.0</v>
      </c>
      <c r="M12" s="5">
        <v>1.0</v>
      </c>
      <c r="N12" s="4">
        <v>14.0</v>
      </c>
    </row>
    <row r="13" ht="14.25" customHeight="1">
      <c r="A13" s="4" t="s">
        <v>240</v>
      </c>
      <c r="B13" s="9"/>
      <c r="C13" s="9"/>
      <c r="D13" s="4">
        <v>2.0</v>
      </c>
      <c r="E13" s="4">
        <v>0.0</v>
      </c>
      <c r="F13" s="4">
        <v>2.0</v>
      </c>
      <c r="G13" s="4">
        <v>1.0</v>
      </c>
      <c r="H13" s="5">
        <v>0.0</v>
      </c>
      <c r="I13" s="5">
        <v>2.0</v>
      </c>
      <c r="J13" s="5">
        <v>0.0</v>
      </c>
      <c r="K13" s="5">
        <v>4.0</v>
      </c>
      <c r="L13" s="5">
        <v>2.0</v>
      </c>
      <c r="M13" s="5">
        <v>1.0</v>
      </c>
      <c r="N13" s="5">
        <v>14.0</v>
      </c>
    </row>
    <row r="14" ht="14.25" customHeight="1">
      <c r="A14" s="4" t="s">
        <v>241</v>
      </c>
      <c r="B14" s="9"/>
      <c r="C14" s="9"/>
      <c r="D14" s="4">
        <v>0.0</v>
      </c>
      <c r="E14" s="4">
        <v>0.0</v>
      </c>
      <c r="F14" s="4">
        <v>1.0</v>
      </c>
      <c r="G14" s="4">
        <v>0.0</v>
      </c>
      <c r="H14" s="5">
        <v>0.0</v>
      </c>
      <c r="I14" s="5">
        <v>0.0</v>
      </c>
      <c r="J14" s="5">
        <v>0.0</v>
      </c>
      <c r="K14" s="5">
        <v>1.0</v>
      </c>
      <c r="L14" s="5">
        <v>1.0</v>
      </c>
      <c r="M14" s="5">
        <v>1.0</v>
      </c>
      <c r="N14" s="4">
        <v>4.0</v>
      </c>
    </row>
    <row r="15" ht="14.25" customHeight="1">
      <c r="A15" s="4" t="s">
        <v>242</v>
      </c>
      <c r="B15" s="9"/>
      <c r="C15" s="9"/>
      <c r="D15" s="4">
        <v>1.0</v>
      </c>
      <c r="E15" s="4">
        <v>0.0</v>
      </c>
      <c r="F15" s="4">
        <v>1.0</v>
      </c>
      <c r="G15" s="4">
        <v>1.0</v>
      </c>
      <c r="H15" s="5">
        <v>0.0</v>
      </c>
      <c r="I15" s="5">
        <v>1.0</v>
      </c>
      <c r="J15" s="5">
        <v>4.0</v>
      </c>
      <c r="K15" s="5">
        <v>3.0</v>
      </c>
      <c r="L15" s="4">
        <v>1.0</v>
      </c>
      <c r="M15" s="5">
        <v>1.0</v>
      </c>
      <c r="N15" s="4">
        <v>13.0</v>
      </c>
    </row>
    <row r="16" ht="14.25" customHeight="1">
      <c r="A16" s="4" t="s">
        <v>243</v>
      </c>
      <c r="B16" s="9"/>
      <c r="C16" s="9"/>
      <c r="D16" s="4">
        <v>0.0</v>
      </c>
      <c r="E16" s="4">
        <v>0.0</v>
      </c>
      <c r="F16" s="4">
        <v>1.0</v>
      </c>
      <c r="G16" s="4">
        <v>0.0</v>
      </c>
      <c r="H16" s="5">
        <v>0.0</v>
      </c>
      <c r="I16" s="5">
        <v>0.0</v>
      </c>
      <c r="J16" s="5">
        <v>0.0</v>
      </c>
      <c r="K16" s="5">
        <v>1.0</v>
      </c>
      <c r="L16" s="5">
        <v>1.0</v>
      </c>
      <c r="M16" s="5">
        <v>1.0</v>
      </c>
      <c r="N16" s="4">
        <v>4.0</v>
      </c>
    </row>
    <row r="17" ht="14.25" customHeight="1">
      <c r="A17" s="4" t="s">
        <v>244</v>
      </c>
      <c r="B17" s="9"/>
      <c r="C17" s="9"/>
      <c r="D17" s="4">
        <v>1.0</v>
      </c>
      <c r="E17" s="4">
        <v>0.0</v>
      </c>
      <c r="F17" s="4">
        <v>1.0</v>
      </c>
      <c r="G17" s="4">
        <v>2.0</v>
      </c>
      <c r="H17" s="5">
        <v>0.0</v>
      </c>
      <c r="I17" s="5">
        <v>2.0</v>
      </c>
      <c r="J17" s="4">
        <v>2.0</v>
      </c>
      <c r="K17" s="4">
        <v>1.0</v>
      </c>
      <c r="L17" s="5">
        <v>2.0</v>
      </c>
      <c r="M17" s="5">
        <v>1.0</v>
      </c>
      <c r="N17" s="5">
        <v>12.0</v>
      </c>
    </row>
    <row r="18" ht="14.25" customHeight="1">
      <c r="A18" s="4" t="s">
        <v>245</v>
      </c>
      <c r="B18" s="9"/>
      <c r="C18" s="9"/>
      <c r="D18" s="4">
        <v>0.0</v>
      </c>
      <c r="E18" s="4">
        <v>0.0</v>
      </c>
      <c r="F18" s="4">
        <v>0.0</v>
      </c>
      <c r="G18" s="4">
        <v>0.0</v>
      </c>
      <c r="H18" s="4">
        <v>0.0</v>
      </c>
      <c r="I18" s="4">
        <v>0.0</v>
      </c>
      <c r="J18" s="5">
        <v>0.0</v>
      </c>
      <c r="K18" s="5">
        <v>1.0</v>
      </c>
      <c r="L18" s="4">
        <v>0.0</v>
      </c>
      <c r="M18" s="5">
        <v>0.0</v>
      </c>
      <c r="N18" s="4">
        <v>1.0</v>
      </c>
    </row>
    <row r="19" ht="14.25" customHeight="1">
      <c r="B19" s="10"/>
      <c r="C19" s="10"/>
    </row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N$18"/>
  <printOptions/>
  <pageMargins bottom="1.0" footer="0.0" header="0.0" left="0.75" right="0.75" top="1.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3.0"/>
    <col customWidth="1" min="2" max="2" width="11.0"/>
    <col customWidth="1" min="3" max="3" width="16.0"/>
    <col customWidth="1" min="4" max="26" width="8.86"/>
  </cols>
  <sheetData>
    <row r="1" ht="14.25" customHeight="1">
      <c r="A1" s="3" t="s">
        <v>169</v>
      </c>
      <c r="B1" s="3" t="s">
        <v>230</v>
      </c>
      <c r="C1" s="3" t="s">
        <v>141</v>
      </c>
    </row>
    <row r="2" ht="14.25" customHeight="1">
      <c r="A2" s="4" t="s">
        <v>233</v>
      </c>
      <c r="B2" s="4">
        <v>80.0</v>
      </c>
      <c r="C2" s="4">
        <v>0.27</v>
      </c>
    </row>
    <row r="3" ht="14.25" customHeight="1">
      <c r="A3" s="4" t="s">
        <v>88</v>
      </c>
      <c r="B3" s="4">
        <v>111.0</v>
      </c>
      <c r="C3" s="4">
        <v>0.38</v>
      </c>
    </row>
    <row r="4" ht="14.25" customHeight="1">
      <c r="A4" s="4" t="s">
        <v>202</v>
      </c>
      <c r="B4" s="4">
        <v>76.0</v>
      </c>
      <c r="C4" s="4">
        <v>0.26</v>
      </c>
    </row>
    <row r="5" ht="14.25" customHeight="1">
      <c r="A5" s="4" t="s">
        <v>235</v>
      </c>
      <c r="B5" s="4">
        <v>27.0</v>
      </c>
      <c r="C5" s="4">
        <v>0.09</v>
      </c>
    </row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C$5"/>
  <printOptions/>
  <pageMargins bottom="1.0" footer="0.0" header="0.0" left="0.75" right="0.75" top="1.0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8.0"/>
    <col customWidth="1" min="2" max="2" width="13.0"/>
    <col customWidth="1" min="3" max="3" width="11.0"/>
    <col customWidth="1" min="4" max="4" width="12.0"/>
    <col customWidth="1" min="5" max="5" width="23.0"/>
    <col customWidth="1" min="6" max="6" width="18.0"/>
    <col customWidth="1" min="7" max="7" width="20.0"/>
    <col customWidth="1" min="8" max="26" width="8.86"/>
  </cols>
  <sheetData>
    <row r="1" ht="14.25" customHeight="1">
      <c r="A1" s="3" t="s">
        <v>19</v>
      </c>
      <c r="B1" s="3" t="s">
        <v>246</v>
      </c>
      <c r="C1" s="3" t="s">
        <v>247</v>
      </c>
      <c r="D1" s="3" t="s">
        <v>249</v>
      </c>
      <c r="E1" s="3" t="s">
        <v>174</v>
      </c>
      <c r="F1" s="3" t="s">
        <v>250</v>
      </c>
      <c r="G1" s="3" t="s">
        <v>177</v>
      </c>
    </row>
    <row r="2" ht="14.25" customHeight="1">
      <c r="A2" s="4" t="s">
        <v>253</v>
      </c>
      <c r="B2" s="4">
        <v>1.0</v>
      </c>
      <c r="C2" s="4">
        <v>1.0</v>
      </c>
      <c r="D2" s="4" t="s">
        <v>254</v>
      </c>
      <c r="E2" s="4" t="s">
        <v>255</v>
      </c>
      <c r="F2" s="4" t="s">
        <v>256</v>
      </c>
      <c r="G2" s="4" t="s">
        <v>184</v>
      </c>
    </row>
    <row r="3" ht="14.25" customHeight="1">
      <c r="A3" s="4" t="s">
        <v>257</v>
      </c>
      <c r="B3" s="4">
        <v>1.0</v>
      </c>
      <c r="C3" s="4">
        <v>1.0</v>
      </c>
      <c r="D3" s="4" t="s">
        <v>254</v>
      </c>
      <c r="E3" s="4" t="s">
        <v>255</v>
      </c>
      <c r="F3" s="4" t="s">
        <v>254</v>
      </c>
      <c r="G3" s="4" t="s">
        <v>258</v>
      </c>
    </row>
    <row r="4" ht="14.25" customHeight="1">
      <c r="A4" s="4" t="s">
        <v>259</v>
      </c>
      <c r="B4" s="4">
        <v>1.0</v>
      </c>
      <c r="C4" s="4">
        <v>1.0</v>
      </c>
      <c r="D4" s="4" t="s">
        <v>254</v>
      </c>
      <c r="E4" s="4" t="s">
        <v>255</v>
      </c>
      <c r="F4" s="4" t="s">
        <v>256</v>
      </c>
      <c r="G4" s="4" t="s">
        <v>184</v>
      </c>
    </row>
    <row r="5" ht="14.25" customHeight="1">
      <c r="A5" s="4" t="s">
        <v>260</v>
      </c>
      <c r="B5" s="4">
        <v>1.0</v>
      </c>
      <c r="C5" s="4">
        <v>1.0</v>
      </c>
      <c r="D5" s="4" t="s">
        <v>254</v>
      </c>
      <c r="E5" s="4" t="s">
        <v>255</v>
      </c>
      <c r="F5" s="4" t="s">
        <v>256</v>
      </c>
      <c r="G5" s="4" t="s">
        <v>184</v>
      </c>
    </row>
    <row r="6" ht="14.25" customHeight="1">
      <c r="A6" s="4" t="s">
        <v>261</v>
      </c>
      <c r="B6" s="4">
        <v>1.0</v>
      </c>
      <c r="C6" s="4">
        <v>1.0</v>
      </c>
      <c r="D6" s="4" t="s">
        <v>254</v>
      </c>
      <c r="E6" s="4" t="s">
        <v>255</v>
      </c>
      <c r="F6" s="4" t="s">
        <v>256</v>
      </c>
      <c r="G6" s="4" t="s">
        <v>184</v>
      </c>
    </row>
    <row r="7" ht="14.25" customHeight="1">
      <c r="A7" s="4" t="s">
        <v>262</v>
      </c>
      <c r="B7" s="4">
        <v>1.0</v>
      </c>
      <c r="C7" s="4">
        <v>1.0</v>
      </c>
      <c r="D7" s="4" t="s">
        <v>254</v>
      </c>
      <c r="E7" s="4" t="s">
        <v>255</v>
      </c>
      <c r="F7" s="4" t="s">
        <v>256</v>
      </c>
      <c r="G7" s="4" t="s">
        <v>184</v>
      </c>
    </row>
    <row r="8" ht="14.25" customHeight="1">
      <c r="A8" s="4" t="s">
        <v>263</v>
      </c>
      <c r="B8" s="4">
        <v>1.0</v>
      </c>
      <c r="C8" s="4">
        <v>1.0</v>
      </c>
      <c r="D8" s="4" t="s">
        <v>254</v>
      </c>
      <c r="E8" s="4" t="s">
        <v>255</v>
      </c>
      <c r="F8" s="4" t="s">
        <v>256</v>
      </c>
      <c r="G8" s="4" t="s">
        <v>184</v>
      </c>
    </row>
    <row r="9" ht="14.25" customHeight="1">
      <c r="A9" s="4" t="s">
        <v>264</v>
      </c>
      <c r="B9" s="4">
        <v>1.0</v>
      </c>
      <c r="C9" s="4">
        <v>1.0</v>
      </c>
      <c r="D9" s="4" t="s">
        <v>254</v>
      </c>
      <c r="E9" s="4" t="s">
        <v>255</v>
      </c>
      <c r="F9" s="4" t="s">
        <v>254</v>
      </c>
      <c r="G9" s="4" t="s">
        <v>265</v>
      </c>
    </row>
    <row r="10" ht="14.25" customHeight="1">
      <c r="A10" s="4" t="s">
        <v>266</v>
      </c>
      <c r="B10" s="4">
        <v>1.0</v>
      </c>
      <c r="C10" s="4">
        <v>1.0</v>
      </c>
      <c r="D10" s="4" t="s">
        <v>254</v>
      </c>
      <c r="E10" s="4" t="s">
        <v>255</v>
      </c>
      <c r="F10" s="4" t="s">
        <v>254</v>
      </c>
      <c r="G10" s="4" t="s">
        <v>267</v>
      </c>
    </row>
    <row r="11" ht="14.25" customHeight="1">
      <c r="A11" s="4" t="s">
        <v>268</v>
      </c>
      <c r="B11" s="4">
        <v>1.0</v>
      </c>
      <c r="C11" s="4">
        <v>1.0</v>
      </c>
      <c r="D11" s="4" t="s">
        <v>254</v>
      </c>
      <c r="E11" s="4" t="s">
        <v>255</v>
      </c>
      <c r="F11" s="4" t="s">
        <v>254</v>
      </c>
      <c r="G11" s="4" t="s">
        <v>267</v>
      </c>
    </row>
    <row r="12" ht="14.25" customHeight="1">
      <c r="A12" s="4" t="s">
        <v>269</v>
      </c>
      <c r="B12" s="4">
        <v>1.0</v>
      </c>
      <c r="C12" s="4">
        <v>1.0</v>
      </c>
      <c r="D12" s="4" t="s">
        <v>254</v>
      </c>
      <c r="E12" s="4" t="s">
        <v>270</v>
      </c>
      <c r="F12" s="4" t="s">
        <v>256</v>
      </c>
      <c r="G12" s="4" t="s">
        <v>184</v>
      </c>
    </row>
    <row r="13" ht="14.25" customHeight="1">
      <c r="A13" s="4" t="s">
        <v>271</v>
      </c>
      <c r="B13" s="4">
        <v>1.0</v>
      </c>
      <c r="C13" s="4">
        <v>0.0</v>
      </c>
      <c r="D13" s="4" t="s">
        <v>184</v>
      </c>
      <c r="E13" s="4" t="s">
        <v>184</v>
      </c>
      <c r="F13" s="4" t="s">
        <v>184</v>
      </c>
      <c r="G13" s="4" t="s">
        <v>184</v>
      </c>
    </row>
    <row r="14" ht="14.25" customHeight="1">
      <c r="A14" s="4" t="s">
        <v>272</v>
      </c>
      <c r="B14" s="4">
        <v>1.0</v>
      </c>
      <c r="C14" s="4">
        <v>0.0</v>
      </c>
      <c r="D14" s="4" t="s">
        <v>184</v>
      </c>
      <c r="E14" s="4" t="s">
        <v>273</v>
      </c>
      <c r="F14" s="4" t="s">
        <v>184</v>
      </c>
      <c r="G14" s="4" t="s">
        <v>184</v>
      </c>
    </row>
    <row r="15" ht="14.25" customHeight="1">
      <c r="A15" s="4" t="s">
        <v>274</v>
      </c>
      <c r="B15" s="4">
        <v>1.0</v>
      </c>
      <c r="C15" s="5">
        <v>0.4</v>
      </c>
      <c r="D15" s="4" t="s">
        <v>184</v>
      </c>
      <c r="E15" s="4" t="s">
        <v>273</v>
      </c>
      <c r="F15" s="4"/>
      <c r="G15" s="4"/>
    </row>
    <row r="16" ht="14.25" customHeight="1">
      <c r="A16" s="4" t="s">
        <v>275</v>
      </c>
      <c r="B16" s="4">
        <v>0.8</v>
      </c>
      <c r="C16" s="5">
        <v>0.0</v>
      </c>
      <c r="D16" s="4" t="s">
        <v>184</v>
      </c>
      <c r="E16" s="4" t="s">
        <v>276</v>
      </c>
      <c r="F16" s="4" t="s">
        <v>184</v>
      </c>
      <c r="G16" s="4" t="s">
        <v>184</v>
      </c>
    </row>
    <row r="17" ht="14.25" customHeight="1">
      <c r="A17" s="4" t="s">
        <v>277</v>
      </c>
      <c r="B17" s="4">
        <v>0.8</v>
      </c>
      <c r="C17" s="4">
        <v>0.0</v>
      </c>
      <c r="D17" s="4" t="s">
        <v>184</v>
      </c>
      <c r="E17" s="4" t="s">
        <v>276</v>
      </c>
      <c r="F17" s="4" t="s">
        <v>184</v>
      </c>
      <c r="G17" s="4" t="s">
        <v>184</v>
      </c>
    </row>
    <row r="18" ht="14.25" customHeight="1">
      <c r="A18" s="4" t="s">
        <v>278</v>
      </c>
      <c r="B18" s="4">
        <v>0.8</v>
      </c>
      <c r="C18" s="4">
        <v>0.0</v>
      </c>
      <c r="D18" s="4" t="s">
        <v>184</v>
      </c>
      <c r="E18" s="4" t="s">
        <v>276</v>
      </c>
      <c r="F18" s="4" t="s">
        <v>184</v>
      </c>
      <c r="G18" s="4" t="s">
        <v>184</v>
      </c>
    </row>
    <row r="19" ht="14.25" customHeight="1">
      <c r="A19" s="4" t="s">
        <v>279</v>
      </c>
      <c r="B19" s="4">
        <v>0.0</v>
      </c>
      <c r="C19" s="4">
        <v>0.0</v>
      </c>
      <c r="D19" s="4" t="s">
        <v>184</v>
      </c>
      <c r="E19" s="4" t="s">
        <v>184</v>
      </c>
      <c r="F19" s="4" t="s">
        <v>184</v>
      </c>
      <c r="G19" s="4" t="s">
        <v>184</v>
      </c>
    </row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G$19"/>
  <printOptions/>
  <pageMargins bottom="1.0" footer="0.0" header="0.0" left="0.75" right="0.75" top="1.0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0"/>
    <col customWidth="1" min="2" max="2" width="10.0"/>
    <col customWidth="1" min="3" max="3" width="11.0"/>
    <col customWidth="1" min="4" max="4" width="10.0"/>
    <col customWidth="1" min="5" max="26" width="8.86"/>
  </cols>
  <sheetData>
    <row r="1" ht="14.25" customHeight="1">
      <c r="A1" s="3" t="s">
        <v>248</v>
      </c>
      <c r="B1" s="3" t="s">
        <v>251</v>
      </c>
      <c r="C1" s="3" t="s">
        <v>252</v>
      </c>
      <c r="D1" s="3" t="s">
        <v>20</v>
      </c>
    </row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D$1"/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2026-09-18T07:10:54Z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