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A" sheetId="1" state="visible" r:id="rId1"/>
    <sheet xmlns:r="http://schemas.openxmlformats.org/officeDocument/2006/relationships" name="CONFIG_HTML" sheetId="2" state="visible" r:id="rId2"/>
    <sheet xmlns:r="http://schemas.openxmlformats.org/officeDocument/2006/relationships" name="ENCABEZADOS" sheetId="3" state="visible" r:id="rId3"/>
    <sheet xmlns:r="http://schemas.openxmlformats.org/officeDocument/2006/relationships" name="CONFIG_DASHBOARD" sheetId="4" state="visible" r:id="rId4"/>
    <sheet xmlns:r="http://schemas.openxmlformats.org/officeDocument/2006/relationships" name="KPIs_HTML" sheetId="5" state="visible" r:id="rId5"/>
    <sheet xmlns:r="http://schemas.openxmlformats.org/officeDocument/2006/relationships" name="LIMPIEZA_COBERTURA" sheetId="6" state="visible" r:id="rId6"/>
    <sheet xmlns:r="http://schemas.openxmlformats.org/officeDocument/2006/relationships" name="LIMPIEZA_PRESUPUESTO" sheetId="7" state="visible" r:id="rId7"/>
    <sheet xmlns:r="http://schemas.openxmlformats.org/officeDocument/2006/relationships" name="AULA911_CAMPUS" sheetId="8" state="visible" r:id="rId8"/>
    <sheet xmlns:r="http://schemas.openxmlformats.org/officeDocument/2006/relationships" name="AULA911_TOP" sheetId="9" state="visible" r:id="rId9"/>
    <sheet xmlns:r="http://schemas.openxmlformats.org/officeDocument/2006/relationships" name="RONDAS" sheetId="10" state="visible" r:id="rId10"/>
    <sheet xmlns:r="http://schemas.openxmlformats.org/officeDocument/2006/relationships" name="PROYECTOS" sheetId="11" state="visible" r:id="rId11"/>
    <sheet xmlns:r="http://schemas.openxmlformats.org/officeDocument/2006/relationships" name="PROYECTO_DETALLE" sheetId="12" state="visible" r:id="rId12"/>
    <sheet xmlns:r="http://schemas.openxmlformats.org/officeDocument/2006/relationships" name="IMPLEMENTACIONES" sheetId="13" state="visible" r:id="rId13"/>
    <sheet xmlns:r="http://schemas.openxmlformats.org/officeDocument/2006/relationships" name="LISTO" sheetId="14" state="visible" r:id="rId14"/>
    <sheet xmlns:r="http://schemas.openxmlformats.org/officeDocument/2006/relationships" name="BD_INICIATIVAS" sheetId="15" state="visible" r:id="rId15"/>
    <sheet xmlns:r="http://schemas.openxmlformats.org/officeDocument/2006/relationships" name="TD" sheetId="16" state="visible" r:id="rId16"/>
    <sheet xmlns:r="http://schemas.openxmlformats.org/officeDocument/2006/relationships" name="LISTAS" sheetId="17" state="visible" r:id="rId17"/>
    <sheet xmlns:r="http://schemas.openxmlformats.org/officeDocument/2006/relationships" name="MEJORAS_PROGRAMACION" sheetId="18" state="visible" r:id="rId18"/>
  </sheets>
  <definedNames>
    <definedName name="_xlnm._FilterDatabase" localSheetId="15" hidden="1">'TD'!$A$4:$M$22</definedName>
  </definedNames>
  <calcPr calcId="124519" calcMode="auto" fullCalcOnLoad="1" forceFullCalc="1"/>
</workbook>
</file>

<file path=xl/styles.xml><?xml version="1.0" encoding="utf-8"?>
<styleSheet xmlns="http://schemas.openxmlformats.org/spreadsheetml/2006/main">
  <numFmts count="2">
    <numFmt numFmtId="164" formatCode="dd/mm/yyyy"/>
    <numFmt numFmtId="165" formatCode="yyyy-mm-dd h:mm:ss"/>
  </numFmts>
  <fonts count="4">
    <font>
      <name val="Calibri"/>
      <family val="2"/>
      <color theme="1"/>
      <sz val="11"/>
      <scheme val="minor"/>
    </font>
    <font>
      <b val="1"/>
      <color rgb="00FFFFFF"/>
    </font>
    <font>
      <b val="1"/>
      <color rgb="001C1C1A"/>
    </font>
    <font>
      <b val="1"/>
    </font>
  </fonts>
  <fills count="4">
    <fill>
      <patternFill/>
    </fill>
    <fill>
      <patternFill patternType="gray125"/>
    </fill>
    <fill>
      <patternFill patternType="solid">
        <fgColor rgb="00C8161C"/>
      </patternFill>
    </fill>
    <fill>
      <patternFill patternType="solid">
        <fgColor rgb="00DDEFF7"/>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xf numFmtId="164" fontId="0" fillId="0" borderId="0" applyAlignment="1" pivotButton="0" quotePrefix="0" xfId="0">
      <alignment vertical="top"/>
    </xf>
    <xf numFmtId="3" fontId="0" fillId="0" borderId="0" applyAlignment="1" pivotButton="0" quotePrefix="0" xfId="0">
      <alignment vertical="top"/>
    </xf>
    <xf numFmtId="164" fontId="0" fillId="0" borderId="0" pivotButton="0" quotePrefix="0" xfId="0"/>
    <xf numFmtId="165" fontId="0" fillId="0" borderId="0" applyAlignment="1" pivotButton="0" quotePrefix="0" xfId="0">
      <alignment vertical="top"/>
    </xf>
    <xf numFmtId="0" fontId="1" fillId="2" borderId="0" applyAlignment="1" pivotButton="0" quotePrefix="0" xfId="0">
      <alignment horizontal="center" vertical="center" wrapText="1"/>
    </xf>
    <xf numFmtId="0" fontId="2" fillId="3" borderId="0" applyAlignment="1" pivotButton="0" quotePrefix="0" xfId="0">
      <alignment vertical="top"/>
    </xf>
    <xf numFmtId="0" fontId="3"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OpenAI</author>
  </authors>
  <commentList>
    <comment ref="D6" authorId="0" shapeId="0">
      <text>
        <t>Puedes cambiar el texto visible de la fecha de corte de Aula 911.</t>
      </text>
    </comment>
  </commentList>
</comments>
</file>

<file path=xl/comments/comment2.xml><?xml version="1.0" encoding="utf-8"?>
<comments xmlns="http://schemas.openxmlformats.org/spreadsheetml/2006/main">
  <authors>
    <author>OpenAI</author>
  </authors>
  <commentList>
    <comment ref="C2" authorId="0" shapeId="0">
      <text>
        <t>Este es el nombre visible. El campo técnico no debe cambiarse si el HTML lo usa.</t>
      </text>
    </comment>
  </commentList>
</comments>
</file>

<file path=xl/comments/comment3.xml><?xml version="1.0" encoding="utf-8"?>
<comments xmlns="http://schemas.openxmlformats.org/spreadsheetml/2006/main">
  <authors>
    <author>OpenAI</author>
  </authors>
  <commentList>
    <comment ref="B4" authorId="0" shapeId="0">
      <text>
        <t>Cambiar esta fecha cambia el corte lógico de la columna &lt;1/03/2026 en la base. El HTML debe usar esta configuración.</t>
      </text>
    </comment>
  </commentList>
</comments>
</file>

<file path=xl/tables/table1.xml><?xml version="1.0" encoding="utf-8"?>
<table xmlns="http://schemas.openxmlformats.org/spreadsheetml/2006/main" id="1" name="tblConfigHTML" displayName="tblConfigHTML" ref="A1:E10" headerRowCount="1">
  <autoFilter ref="A1:E10"/>
  <tableColumns count="5">
    <tableColumn id="1" name="selector"/>
    <tableColumn id="2" name="tipo"/>
    <tableColumn id="3" name="atributo"/>
    <tableColumn id="4" name="valor"/>
    <tableColumn id="5" name="descripcion"/>
  </tableColumns>
  <tableStyleInfo name="TableStyleMedium2" showFirstColumn="0" showLastColumn="0" showRowStripes="1" showColumnStripes="0"/>
</table>
</file>

<file path=xl/tables/table2.xml><?xml version="1.0" encoding="utf-8"?>
<table xmlns="http://schemas.openxmlformats.org/spreadsheetml/2006/main" id="2" name="tblEncabezados" displayName="tblEncabezados" ref="A1:F54" headerRowCount="1">
  <autoFilter ref="A1:F54"/>
  <tableColumns count="6">
    <tableColumn id="1" name="hoja"/>
    <tableColumn id="2" name="campo"/>
    <tableColumn id="3" name="display_name"/>
    <tableColumn id="4" name="orden"/>
    <tableColumn id="5" name="visible"/>
    <tableColumn id="6" name="formato"/>
  </tableColumns>
  <tableStyleInfo name="TableStyleMedium2" showFirstColumn="0" showLastColumn="0" showRowStripes="1" showColumnStripes="0"/>
</table>
</file>

<file path=xl/tables/table3.xml><?xml version="1.0" encoding="utf-8"?>
<table xmlns="http://schemas.openxmlformats.org/spreadsheetml/2006/main" id="3" name="tblConfigDashboard" displayName="tblConfigDashboard" ref="A1:C8" headerRowCount="1">
  <autoFilter ref="A1:C8"/>
  <tableColumns count="3">
    <tableColumn id="1" name="clave"/>
    <tableColumn id="2" name="valor"/>
    <tableColumn id="3" name="descripcion"/>
  </tableColumns>
  <tableStyleInfo name="TableStyleMedium2" showFirstColumn="0" showLastColumn="0" showRowStripes="1" showColumnStripes="0"/>
</table>
</file>

<file path=xl/tables/table4.xml><?xml version="1.0" encoding="utf-8"?>
<table xmlns="http://schemas.openxmlformats.org/spreadsheetml/2006/main" id="4" name="tblKpis" displayName="tblKpis" ref="A1:E27" headerRowCount="1">
  <autoFilter ref="A1:E27"/>
  <tableColumns count="5">
    <tableColumn id="1" name="modulo"/>
    <tableColumn id="2" name="indicador"/>
    <tableColumn id="3" name="valor"/>
    <tableColumn id="4" name="unidad"/>
    <tableColumn id="5" name="descripcion"/>
  </tableColumns>
  <tableStyleInfo name="TableStyleMedium2" showFirstColumn="0" showLastColumn="0" showRowStripes="1" showColumnStripes="0"/>
</table>
</file>

<file path=xl/tables/table5.xml><?xml version="1.0" encoding="utf-8"?>
<table xmlns="http://schemas.openxmlformats.org/spreadsheetml/2006/main" id="5" name="tblCobertura" displayName="tblCobertura" ref="A1:M29" headerRowCount="1">
  <autoFilter ref="A1:M29"/>
  <tableColumns count="13">
    <tableColumn id="1" name="zona"/>
    <tableColumn id="2" name="campus"/>
    <tableColumn id="3" name="dot_m"/>
    <tableColumn id="4" name="dot_t"/>
    <tableColumn id="5" name="dot_n"/>
    <tableColumn id="6" name="cob_m"/>
    <tableColumn id="7" name="cob_t"/>
    <tableColumn id="8" name="cob_n"/>
    <tableColumn id="9" name="pend_m"/>
    <tableColumn id="10" name="pend_t"/>
    <tableColumn id="11" name="pend_n"/>
    <tableColumn id="12" name="pend_total"/>
    <tableColumn id="13" name="cobertura_pct"/>
  </tableColumns>
  <tableStyleInfo name="TableStyleMedium2" showFirstColumn="0" showLastColumn="0" showRowStripes="1" showColumnStripes="0"/>
</table>
</file>

<file path=xl/tables/table6.xml><?xml version="1.0" encoding="utf-8"?>
<table xmlns="http://schemas.openxmlformats.org/spreadsheetml/2006/main" id="6" name="tblPresupuesto" displayName="tblPresupuesto" ref="A1:C11" headerRowCount="1">
  <autoFilter ref="A1:C11"/>
  <tableColumns count="3">
    <tableColumn id="1" name="concepto"/>
    <tableColumn id="2" name="periodo"/>
    <tableColumn id="3" name="monto"/>
  </tableColumns>
  <tableStyleInfo name="TableStyleMedium2" showFirstColumn="0" showLastColumn="0" showRowStripes="1" showColumnStripes="0"/>
</table>
</file>

<file path=xl/tables/table7.xml><?xml version="1.0" encoding="utf-8"?>
<table xmlns="http://schemas.openxmlformats.org/spreadsheetml/2006/main" id="7" name="tblAula911" displayName="tblAula911" ref="A1:F23" headerRowCount="1">
  <autoFilter ref="A1:F23"/>
  <tableColumns count="6">
    <tableColumn id="1" name="campus"/>
    <tableColumn id="2" name="tiempo_acepta_min"/>
    <tableColumn id="3" name="tiempo_atiende_min"/>
    <tableColumn id="4" name="tiempo_total_min"/>
    <tableColumn id="5" name="valoracion"/>
    <tableColumn id="6" name="es_subsede"/>
  </tableColumns>
  <tableStyleInfo name="TableStyleMedium2" showFirstColumn="0" showLastColumn="0" showRowStripes="1" showColumnStripes="0"/>
</table>
</file>

<file path=xl/tables/table8.xml><?xml version="1.0" encoding="utf-8"?>
<table xmlns="http://schemas.openxmlformats.org/spreadsheetml/2006/main" id="8" name="tblAulaTop" displayName="tblAulaTop" ref="A1:B6" headerRowCount="1">
  <autoFilter ref="A1:B6"/>
  <tableColumns count="2">
    <tableColumn id="1" name="tipo_incidencia"/>
    <tableColumn id="2" name="participacion"/>
  </tableColumns>
  <tableStyleInfo name="TableStyleMedium2" showFirstColumn="0" showLastColumn="0" showRowStripes="1" showColumnStripes="0"/>
</table>
</file>

<file path=xl/tables/table9.xml><?xml version="1.0" encoding="utf-8"?>
<table xmlns="http://schemas.openxmlformats.org/spreadsheetml/2006/main" id="9" name="tblRondas" displayName="tblRondas" ref="A1:G23" headerRowCount="1">
  <autoFilter ref="A1:G23"/>
  <tableColumns count="7">
    <tableColumn id="1" name="sede"/>
    <tableColumn id="2" name="dispositivos_asignados"/>
    <tableColumn id="3" name="responsables"/>
    <tableColumn id="4" name="programado"/>
    <tableColumn id="5" name="ejecutado"/>
    <tableColumn id="6" name="cumplimiento_pct"/>
    <tableColumn id="7" name="es_subsede"/>
  </tableColumns>
  <tableStyleInfo name="TableStyleMedium2" showFirstColumn="0" showLastColumn="0" showRowStripes="1" showColumnStripes="0"/>
</table>
</file>

<file path=xl/tables/table10.xml><?xml version="1.0" encoding="utf-8"?>
<table xmlns="http://schemas.openxmlformats.org/spreadsheetml/2006/main" id="10" name="tblProyectos" displayName="tblProyectos" ref="A1:G20" headerRowCount="1">
  <autoFilter ref="A1:G20"/>
  <tableColumns count="7">
    <tableColumn id="1" name="proyecto"/>
    <tableColumn id="2" name="estado"/>
    <tableColumn id="3" name="avance_obra_pct"/>
    <tableColumn id="4" name="avance_compras_pct"/>
    <tableColumn id="5" name="fecha_objetivo_texto"/>
    <tableColumn id="6" name="con_observaciones"/>
    <tableColumn id="7" name="nueva_fecha_texto"/>
  </tableColumns>
  <tableStyleInfo name="TableStyleMedium2" showFirstColumn="0" showLastColumn="0" showRowStripes="1" showColumnStripes="0"/>
</table>
</file>

<file path=xl/tables/table11.xml><?xml version="1.0" encoding="utf-8"?>
<table xmlns="http://schemas.openxmlformats.org/spreadsheetml/2006/main" id="11" name="tblProyectoDetalle" displayName="tblProyectoDetalle" ref="A1:G5" headerRowCount="1">
  <autoFilter ref="A1:G5"/>
  <tableColumns count="7">
    <tableColumn id="1" name="campus"/>
    <tableColumn id="2" name="descripcion"/>
    <tableColumn id="3" name="avance_obra_pct"/>
    <tableColumn id="4" name="avance_compras_pct"/>
    <tableColumn id="5" name="avance_implementacion_pct"/>
    <tableColumn id="6" name="fecha_objetivo_texto"/>
    <tableColumn id="7" name="url_seguimiento"/>
  </tableColumns>
  <tableStyleInfo name="TableStyleMedium2" showFirstColumn="0" showLastColumn="0" showRowStripes="1" showColumnStripes="0"/>
</table>
</file>

<file path=xl/tables/table12.xml><?xml version="1.0" encoding="utf-8"?>
<table xmlns="http://schemas.openxmlformats.org/spreadsheetml/2006/main" id="12" name="tblImplementaciones" displayName="tblImplementaciones" ref="A1:C55" headerRowCount="1">
  <autoFilter ref="A1:C55"/>
  <tableColumns count="3">
    <tableColumn id="1" name="titulo"/>
    <tableColumn id="2" name="avance_pct"/>
    <tableColumn id="3" name="url"/>
  </tableColumns>
  <tableStyleInfo name="TableStyleMedium2" showFirstColumn="0" showLastColumn="0" showRowStripes="1" showColumnStripes="0"/>
</table>
</file>

<file path=xl/tables/table13.xml><?xml version="1.0" encoding="utf-8"?>
<table xmlns="http://schemas.openxmlformats.org/spreadsheetml/2006/main" id="13" name="tblListo" displayName="tblListo" ref="A1:G19" headerRowCount="1">
  <autoFilter ref="A1:G19"/>
  <tableColumns count="7">
    <tableColumn id="1" name="campus"/>
    <tableColumn id="2" name="diseno_pct"/>
    <tableColumn id="3" name="obra_pct"/>
    <tableColumn id="4" name="operacion"/>
    <tableColumn id="5" name="fecha_objetivo_texto"/>
    <tableColumn id="6" name="con_observacion"/>
    <tableColumn id="7" name="nueva_fecha_texto"/>
  </tableColumns>
  <tableStyleInfo name="TableStyleMedium2" showFirstColumn="0" showLastColumn="0" showRowStripes="1" showColumnStripes="0"/>
</table>
</file>

<file path=xl/tables/table14.xml><?xml version="1.0" encoding="utf-8"?>
<table xmlns="http://schemas.openxmlformats.org/spreadsheetml/2006/main" id="14" name="tblMejorasProgramacion" displayName="tblMejorasProgramacion" ref="A1:O18" headerRowCount="1">
  <autoFilter ref="A1:O18"/>
  <tableColumns count="15">
    <tableColumn id="1" name="campus"/>
    <tableColumn id="2" name="fecha_inicio_texto"/>
    <tableColumn id="3" name="fecha_fin_texto"/>
    <tableColumn id="4" name="menor_01_03_2026"/>
    <tableColumn id="5" name="mar"/>
    <tableColumn id="6" name="abr"/>
    <tableColumn id="7" name="may"/>
    <tableColumn id="8" name="jun"/>
    <tableColumn id="9" name="jul"/>
    <tableColumn id="10" name="ago"/>
    <tableColumn id="11" name="set"/>
    <tableColumn id="12" name="oct"/>
    <tableColumn id="13" name="nov"/>
    <tableColumn id="14" name="dic"/>
    <tableColumn id="15" name="total"/>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_rels/sheet18.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fitToPage="1"/>
  </sheetPr>
  <dimension ref="A1:B10"/>
  <sheetViews>
    <sheetView showGridLines="0"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ht="30" customHeight="1">
      <c r="A1" s="1" t="inlineStr">
        <is>
          <t>BASE DE DATOS DEL DASHBOARD</t>
        </is>
      </c>
      <c r="B1" s="1" t="inlineStr">
        <is>
          <t>BD_dashboard_operaciones_github.xlsx</t>
        </is>
      </c>
    </row>
    <row r="2">
      <c r="A2" s="2" t="inlineStr">
        <is>
          <t>Cómo usarla</t>
        </is>
      </c>
      <c r="B2" s="2" t="inlineStr">
        <is>
          <t>Edita únicamente las hojas de datos. El HTML toma la información de este archivo.</t>
        </is>
      </c>
    </row>
    <row r="3">
      <c r="A3" s="2" t="inlineStr">
        <is>
          <t>Fechas de corte</t>
        </is>
      </c>
      <c r="B3" s="2" t="inlineStr">
        <is>
          <t>Cámbialas en CONFIG_HTML / CONFIG_DASHBOARD. Ej.: 22/09/2026.</t>
        </is>
      </c>
    </row>
    <row r="4">
      <c r="A4" s="2" t="inlineStr">
        <is>
          <t>Nombres de columnas</t>
        </is>
      </c>
      <c r="B4" s="2" t="inlineStr">
        <is>
          <t>Puedes cambiar los nombres visibles en CONFIG_HTML o en la columna DISPLAY_NAME de ENCABEZADOS.</t>
        </is>
      </c>
    </row>
    <row r="5">
      <c r="A5" s="2" t="inlineStr">
        <is>
          <t>Resumen Ejecutivo</t>
        </is>
      </c>
      <c r="B5" s="2" t="inlineStr">
        <is>
          <t>No se edita manualmente: el HTML lo calcula a partir de las demás hojas.</t>
        </is>
      </c>
    </row>
    <row r="6">
      <c r="A6" s="2" t="inlineStr">
        <is>
          <t>Iniciativas Estratégicas</t>
        </is>
      </c>
      <c r="B6" s="2" t="inlineStr">
        <is>
          <t>Edita BD_INICIATIVAS. La pestaña Resumen reproduce la lógica de TD por estado y FECHA FIN PLANIFICADA.</t>
        </is>
      </c>
    </row>
    <row r="7">
      <c r="A7" s="2" t="inlineStr">
        <is>
          <t>Estados permitidos</t>
        </is>
      </c>
      <c r="B7" s="2" t="inlineStr">
        <is>
          <t>EJECUTADO, EN PROCESO, PENDIENTE, CANCELADO.</t>
        </is>
      </c>
    </row>
    <row r="8">
      <c r="A8" s="2" t="inlineStr">
        <is>
          <t>Campus</t>
        </is>
      </c>
      <c r="B8" s="2" t="inlineStr">
        <is>
          <t>Edita la lista en LISTAS si agregas o renombras campus.</t>
        </is>
      </c>
    </row>
    <row r="9">
      <c r="A9" s="2" t="inlineStr">
        <is>
          <t>Importante</t>
        </is>
      </c>
      <c r="B9" s="2" t="inlineStr">
        <is>
          <t>No cambies los nombres de las hojas técnicas si quieres mantener la vinculación actual del HTML.</t>
        </is>
      </c>
    </row>
    <row r="10">
      <c r="A10" t="inlineStr">
        <is>
          <t>MEJORAS_PROGRAMACION</t>
        </is>
      </c>
      <c r="B10" t="inlineStr">
        <is>
          <t>Tabla auxiliar para compatibilidad con el HTML; se genera a partir de BD_INICIATIVAS.</t>
        </is>
      </c>
    </row>
  </sheetData>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E10"/>
  <sheetViews>
    <sheetView showGridLines="0" workbookViewId="0">
      <pane ySplit="1" topLeftCell="A2" activePane="bottomLeft" state="frozen"/>
      <selection pane="bottomLeft" activeCell="A1" sqref="A1"/>
    </sheetView>
  </sheetViews>
  <sheetFormatPr baseColWidth="8" defaultRowHeight="15"/>
  <cols>
    <col width="48" customWidth="1" min="1" max="1"/>
    <col width="12" customWidth="1" min="2" max="2"/>
    <col width="12" customWidth="1" min="3" max="3"/>
    <col width="80" customWidth="1" min="4" max="4"/>
    <col width="50" customWidth="1" min="5" max="5"/>
  </cols>
  <sheetData>
    <row r="1" ht="30" customHeight="1">
      <c r="A1" s="1" t="inlineStr">
        <is>
          <t>selector</t>
        </is>
      </c>
      <c r="B1" s="1" t="inlineStr">
        <is>
          <t>tipo</t>
        </is>
      </c>
      <c r="C1" s="1" t="inlineStr">
        <is>
          <t>atributo</t>
        </is>
      </c>
      <c r="D1" s="1" t="inlineStr">
        <is>
          <t>valor</t>
        </is>
      </c>
      <c r="E1" s="1" t="inlineStr">
        <is>
          <t>descripcion</t>
        </is>
      </c>
    </row>
    <row r="2">
      <c r="A2" s="3" t="inlineStr">
        <is>
          <t>meta:sec-resumen:eyebrow</t>
        </is>
      </c>
      <c r="B2" s="3" t="inlineStr">
        <is>
          <t>text</t>
        </is>
      </c>
      <c r="C2" s="3" t="inlineStr"/>
      <c r="D2" s="3" t="inlineStr">
        <is>
          <t>Proyectos operacionales</t>
        </is>
      </c>
      <c r="E2" s="3" t="inlineStr">
        <is>
          <t>Etiqueta superior del Resumen Ejecutivo</t>
        </is>
      </c>
    </row>
    <row r="3">
      <c r="A3" s="3" t="inlineStr">
        <is>
          <t>meta:sec-resumen:title</t>
        </is>
      </c>
      <c r="B3" s="3" t="inlineStr">
        <is>
          <t>text</t>
        </is>
      </c>
      <c r="C3" s="3" t="inlineStr"/>
      <c r="D3" s="3" t="inlineStr">
        <is>
          <t>Resumen ejecutivo</t>
        </is>
      </c>
      <c r="E3" s="3" t="inlineStr">
        <is>
          <t>Título del Resumen Ejecutivo</t>
        </is>
      </c>
    </row>
    <row r="4">
      <c r="A4" s="3" t="inlineStr">
        <is>
          <t>#sec-limpieza-cobertura .section-intro p</t>
        </is>
      </c>
      <c r="B4" s="3" t="inlineStr">
        <is>
          <t>text</t>
        </is>
      </c>
      <c r="C4" s="3" t="inlineStr"/>
      <c r="D4" s="3" t="inlineStr">
        <is>
          <t>Vista consolidada por campus · Dotación agosto 2026 vs. cobertura 17/09</t>
        </is>
      </c>
      <c r="E4" s="3" t="inlineStr">
        <is>
          <t>Texto de corte/introducción</t>
        </is>
      </c>
    </row>
    <row r="5">
      <c r="A5" s="3" t="inlineStr">
        <is>
          <t>#sec-limpieza-presupuesto .section-intro p</t>
        </is>
      </c>
      <c r="B5" s="3" t="inlineStr">
        <is>
          <t>text</t>
        </is>
      </c>
      <c r="C5" s="3" t="inlineStr"/>
      <c r="D5" s="3" t="inlineStr">
        <is>
          <t>Presupuesto 2026 y descuentos / penalidades registrados</t>
        </is>
      </c>
      <c r="E5" s="3" t="inlineStr">
        <is>
          <t>Texto de introducción</t>
        </is>
      </c>
    </row>
    <row r="6">
      <c r="A6" s="3" t="inlineStr">
        <is>
          <t>#sec-operaciones-aula911 .section-intro p</t>
        </is>
      </c>
      <c r="B6" s="3" t="inlineStr">
        <is>
          <t>text</t>
        </is>
      </c>
      <c r="C6" s="3" t="inlineStr"/>
      <c r="D6" s="3" t="inlineStr">
        <is>
          <t>Indicadores 2026 · corte 22/09</t>
        </is>
      </c>
      <c r="E6" s="3" t="inlineStr">
        <is>
          <t>Fecha de corte Aula 911</t>
        </is>
      </c>
    </row>
    <row r="7">
      <c r="A7" s="3" t="inlineStr">
        <is>
          <t>#sec-operaciones-rondas .section-intro p</t>
        </is>
      </c>
      <c r="B7" s="3" t="inlineStr">
        <is>
          <t>text</t>
        </is>
      </c>
      <c r="C7" s="3" t="inlineStr"/>
      <c r="D7" s="3" t="inlineStr">
        <is>
          <t>Indicadores 2026 · corte 23/09</t>
        </is>
      </c>
      <c r="E7" s="3" t="inlineStr">
        <is>
          <t>Fecha de corte Rondas</t>
        </is>
      </c>
    </row>
    <row r="8">
      <c r="A8" s="3" t="inlineStr">
        <is>
          <t>#sec-proyectos-resumen .section-intro p</t>
        </is>
      </c>
      <c r="B8" s="3" t="inlineStr">
        <is>
          <t>text</t>
        </is>
      </c>
      <c r="C8" s="3" t="inlineStr"/>
      <c r="D8" s="3" t="inlineStr">
        <is>
          <t>Portafolio consolidado y avance de obra / compras</t>
        </is>
      </c>
      <c r="E8" s="3" t="inlineStr">
        <is>
          <t>Texto de introducción</t>
        </is>
      </c>
    </row>
    <row r="9">
      <c r="A9" s="3" t="inlineStr">
        <is>
          <t>#sec-mejoras-resumen .section-intro p</t>
        </is>
      </c>
      <c r="B9" s="3" t="inlineStr">
        <is>
          <t>text</t>
        </is>
      </c>
      <c r="C9" s="3" t="inlineStr"/>
      <c r="D9" s="3" t="inlineStr">
        <is>
          <t>Consolidado por estado y programación mensual</t>
        </is>
      </c>
      <c r="E9" s="3" t="inlineStr">
        <is>
          <t>Texto de introducción</t>
        </is>
      </c>
    </row>
    <row r="10">
      <c r="A10" s="3" t="inlineStr">
        <is>
          <t>#sec-listo-resumen .section-intro p</t>
        </is>
      </c>
      <c r="B10" s="3" t="inlineStr">
        <is>
          <t>text</t>
        </is>
      </c>
      <c r="C10" s="3" t="inlineStr"/>
      <c r="D10" s="3" t="inlineStr">
        <is>
          <t>Estado de diseño, obra y operación por campus</t>
        </is>
      </c>
      <c r="E10" s="3" t="inlineStr">
        <is>
          <t>Texto de introducción</t>
        </is>
      </c>
    </row>
  </sheetData>
  <pageMargins left="0.75" right="0.75" top="1" bottom="1" header="0.5" footer="0.5"/>
  <pageSetup fitToHeight="0" fitToWidth="1"/>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F69"/>
  <sheetViews>
    <sheetView showGridLines="0" workbookViewId="0">
      <pane ySplit="1" topLeftCell="A2" activePane="bottomLeft" state="frozen"/>
      <selection pane="bottomLeft" activeCell="A1" sqref="A1"/>
    </sheetView>
  </sheetViews>
  <sheetFormatPr baseColWidth="8" defaultRowHeight="15"/>
  <cols>
    <col width="26" customWidth="1" min="1" max="1"/>
    <col width="24" customWidth="1" min="2" max="2"/>
    <col width="34" customWidth="1" min="3" max="3"/>
    <col width="10" customWidth="1" min="4" max="4"/>
    <col width="12" customWidth="1" min="5" max="5"/>
    <col width="18" customWidth="1" min="6" max="6"/>
  </cols>
  <sheetData>
    <row r="1" ht="30" customHeight="1">
      <c r="A1" s="1" t="inlineStr">
        <is>
          <t>hoja</t>
        </is>
      </c>
      <c r="B1" s="1" t="inlineStr">
        <is>
          <t>campo</t>
        </is>
      </c>
      <c r="C1" s="1" t="inlineStr">
        <is>
          <t>display_name</t>
        </is>
      </c>
      <c r="D1" s="1" t="inlineStr">
        <is>
          <t>orden</t>
        </is>
      </c>
      <c r="E1" s="1" t="inlineStr">
        <is>
          <t>visible</t>
        </is>
      </c>
      <c r="F1" s="1" t="inlineStr">
        <is>
          <t>formato</t>
        </is>
      </c>
    </row>
    <row r="2">
      <c r="A2" s="3" t="inlineStr">
        <is>
          <t>LIMPIEZA_COBERTURA</t>
        </is>
      </c>
      <c r="B2" s="3" t="inlineStr">
        <is>
          <t>col_1</t>
        </is>
      </c>
      <c r="C2" s="3" t="inlineStr">
        <is>
          <t>Zona</t>
        </is>
      </c>
      <c r="D2" s="3" t="n">
        <v>1</v>
      </c>
      <c r="E2" s="3" t="inlineStr">
        <is>
          <t>Sí</t>
        </is>
      </c>
      <c r="F2" s="3" t="inlineStr"/>
    </row>
    <row r="3">
      <c r="A3" s="3" t="inlineStr">
        <is>
          <t>LIMPIEZA_COBERTURA</t>
        </is>
      </c>
      <c r="B3" s="3" t="inlineStr">
        <is>
          <t>col_2</t>
        </is>
      </c>
      <c r="C3" s="3" t="inlineStr">
        <is>
          <t>Campus</t>
        </is>
      </c>
      <c r="D3" s="3" t="n">
        <v>2</v>
      </c>
      <c r="E3" s="3" t="inlineStr">
        <is>
          <t>Sí</t>
        </is>
      </c>
      <c r="F3" s="3" t="inlineStr"/>
    </row>
    <row r="4">
      <c r="A4" s="3" t="inlineStr">
        <is>
          <t>LIMPIEZA_COBERTURA</t>
        </is>
      </c>
      <c r="B4" s="3" t="inlineStr">
        <is>
          <t>col_3</t>
        </is>
      </c>
      <c r="C4" s="3" t="inlineStr">
        <is>
          <t>Turno Mañana</t>
        </is>
      </c>
      <c r="D4" s="3" t="n">
        <v>3</v>
      </c>
      <c r="E4" s="3" t="inlineStr">
        <is>
          <t>Sí</t>
        </is>
      </c>
      <c r="F4" s="3" t="inlineStr"/>
    </row>
    <row r="5">
      <c r="A5" s="3" t="inlineStr">
        <is>
          <t>LIMPIEZA_COBERTURA</t>
        </is>
      </c>
      <c r="B5" s="3" t="inlineStr">
        <is>
          <t>col_4</t>
        </is>
      </c>
      <c r="C5" s="3" t="inlineStr">
        <is>
          <t>Turno Tarde</t>
        </is>
      </c>
      <c r="D5" s="3" t="n">
        <v>4</v>
      </c>
      <c r="E5" s="3" t="inlineStr">
        <is>
          <t>Sí</t>
        </is>
      </c>
      <c r="F5" s="3" t="inlineStr"/>
    </row>
    <row r="6">
      <c r="A6" s="3" t="inlineStr">
        <is>
          <t>LIMPIEZA_COBERTURA</t>
        </is>
      </c>
      <c r="B6" s="3" t="inlineStr">
        <is>
          <t>col_5</t>
        </is>
      </c>
      <c r="C6" s="3" t="inlineStr">
        <is>
          <t>Turno Noche</t>
        </is>
      </c>
      <c r="D6" s="3" t="n">
        <v>5</v>
      </c>
      <c r="E6" s="3" t="inlineStr">
        <is>
          <t>Sí</t>
        </is>
      </c>
      <c r="F6" s="3" t="inlineStr"/>
    </row>
    <row r="7">
      <c r="A7" s="3" t="inlineStr">
        <is>
          <t>LIMPIEZA_COBERTURA</t>
        </is>
      </c>
      <c r="B7" s="3" t="inlineStr">
        <is>
          <t>col_6</t>
        </is>
      </c>
      <c r="C7" s="3" t="inlineStr">
        <is>
          <t>Cobertura Mañana</t>
        </is>
      </c>
      <c r="D7" s="3" t="n">
        <v>6</v>
      </c>
      <c r="E7" s="3" t="inlineStr">
        <is>
          <t>Sí</t>
        </is>
      </c>
      <c r="F7" s="3" t="inlineStr"/>
    </row>
    <row r="8">
      <c r="A8" s="3" t="inlineStr">
        <is>
          <t>LIMPIEZA_COBERTURA</t>
        </is>
      </c>
      <c r="B8" s="3" t="inlineStr">
        <is>
          <t>col_7</t>
        </is>
      </c>
      <c r="C8" s="3" t="inlineStr">
        <is>
          <t>Cobertura Tarde</t>
        </is>
      </c>
      <c r="D8" s="3" t="n">
        <v>7</v>
      </c>
      <c r="E8" s="3" t="inlineStr">
        <is>
          <t>Sí</t>
        </is>
      </c>
      <c r="F8" s="3" t="inlineStr"/>
    </row>
    <row r="9">
      <c r="A9" s="3" t="inlineStr">
        <is>
          <t>LIMPIEZA_COBERTURA</t>
        </is>
      </c>
      <c r="B9" s="3" t="inlineStr">
        <is>
          <t>col_8</t>
        </is>
      </c>
      <c r="C9" s="3" t="inlineStr">
        <is>
          <t>Cobertura Noche</t>
        </is>
      </c>
      <c r="D9" s="3" t="n">
        <v>8</v>
      </c>
      <c r="E9" s="3" t="inlineStr">
        <is>
          <t>Sí</t>
        </is>
      </c>
      <c r="F9" s="3" t="inlineStr"/>
    </row>
    <row r="10">
      <c r="A10" s="3" t="inlineStr">
        <is>
          <t>LIMPIEZA_COBERTURA</t>
        </is>
      </c>
      <c r="B10" s="3" t="inlineStr">
        <is>
          <t>col_9</t>
        </is>
      </c>
      <c r="C10" s="3" t="inlineStr">
        <is>
          <t>Pendiente Mañana</t>
        </is>
      </c>
      <c r="D10" s="3" t="n">
        <v>9</v>
      </c>
      <c r="E10" s="3" t="inlineStr">
        <is>
          <t>Sí</t>
        </is>
      </c>
      <c r="F10" s="3" t="inlineStr"/>
    </row>
    <row r="11">
      <c r="A11" s="3" t="inlineStr">
        <is>
          <t>LIMPIEZA_COBERTURA</t>
        </is>
      </c>
      <c r="B11" s="3" t="inlineStr">
        <is>
          <t>col_10</t>
        </is>
      </c>
      <c r="C11" s="3" t="inlineStr">
        <is>
          <t>Pendiente Tarde</t>
        </is>
      </c>
      <c r="D11" s="3" t="n">
        <v>10</v>
      </c>
      <c r="E11" s="3" t="inlineStr">
        <is>
          <t>Sí</t>
        </is>
      </c>
      <c r="F11" s="3" t="inlineStr"/>
    </row>
    <row r="12">
      <c r="A12" s="3" t="inlineStr">
        <is>
          <t>LIMPIEZA_COBERTURA</t>
        </is>
      </c>
      <c r="B12" s="3" t="inlineStr">
        <is>
          <t>col_11</t>
        </is>
      </c>
      <c r="C12" s="3" t="inlineStr">
        <is>
          <t>Pendiente Noche</t>
        </is>
      </c>
      <c r="D12" s="3" t="n">
        <v>11</v>
      </c>
      <c r="E12" s="3" t="inlineStr">
        <is>
          <t>Sí</t>
        </is>
      </c>
      <c r="F12" s="3" t="inlineStr"/>
    </row>
    <row r="13">
      <c r="A13" s="3" t="inlineStr">
        <is>
          <t>LIMPIEZA_COBERTURA</t>
        </is>
      </c>
      <c r="B13" s="3" t="inlineStr">
        <is>
          <t>col_12</t>
        </is>
      </c>
      <c r="C13" s="3" t="inlineStr">
        <is>
          <t>#</t>
        </is>
      </c>
      <c r="D13" s="3" t="n">
        <v>12</v>
      </c>
      <c r="E13" s="3" t="inlineStr">
        <is>
          <t>Sí</t>
        </is>
      </c>
      <c r="F13" s="3" t="inlineStr"/>
    </row>
    <row r="14">
      <c r="A14" s="3" t="inlineStr">
        <is>
          <t>LIMPIEZA_COBERTURA</t>
        </is>
      </c>
      <c r="B14" s="3" t="inlineStr">
        <is>
          <t>col_13</t>
        </is>
      </c>
      <c r="C14" s="3" t="inlineStr">
        <is>
          <t>%</t>
        </is>
      </c>
      <c r="D14" s="3" t="n">
        <v>13</v>
      </c>
      <c r="E14" s="3" t="inlineStr">
        <is>
          <t>Sí</t>
        </is>
      </c>
      <c r="F14" s="3" t="inlineStr"/>
    </row>
    <row r="15">
      <c r="A15" s="3" t="inlineStr">
        <is>
          <t>LIMPIEZA_PRESUPUESTO</t>
        </is>
      </c>
      <c r="B15" s="3" t="inlineStr">
        <is>
          <t>col_1</t>
        </is>
      </c>
      <c r="C15" s="3" t="inlineStr">
        <is>
          <t>Concepto</t>
        </is>
      </c>
      <c r="D15" s="3" t="n">
        <v>1</v>
      </c>
      <c r="E15" s="3" t="inlineStr">
        <is>
          <t>Sí</t>
        </is>
      </c>
      <c r="F15" s="3" t="inlineStr"/>
    </row>
    <row r="16">
      <c r="A16" s="3" t="inlineStr">
        <is>
          <t>LIMPIEZA_PRESUPUESTO</t>
        </is>
      </c>
      <c r="B16" s="3" t="inlineStr">
        <is>
          <t>col_2</t>
        </is>
      </c>
      <c r="C16" s="3" t="inlineStr">
        <is>
          <t>Periodo</t>
        </is>
      </c>
      <c r="D16" s="3" t="n">
        <v>2</v>
      </c>
      <c r="E16" s="3" t="inlineStr">
        <is>
          <t>Sí</t>
        </is>
      </c>
      <c r="F16" s="3" t="inlineStr"/>
    </row>
    <row r="17">
      <c r="A17" s="3" t="inlineStr">
        <is>
          <t>LIMPIEZA_PRESUPUESTO</t>
        </is>
      </c>
      <c r="B17" s="3" t="inlineStr">
        <is>
          <t>col_3</t>
        </is>
      </c>
      <c r="C17" s="3" t="inlineStr">
        <is>
          <t>Monto</t>
        </is>
      </c>
      <c r="D17" s="3" t="n">
        <v>3</v>
      </c>
      <c r="E17" s="3" t="inlineStr">
        <is>
          <t>Sí</t>
        </is>
      </c>
      <c r="F17" s="3" t="inlineStr"/>
    </row>
    <row r="18">
      <c r="A18" s="3" t="inlineStr">
        <is>
          <t>AULA911_CAMPUS</t>
        </is>
      </c>
      <c r="B18" s="3" t="inlineStr">
        <is>
          <t>col_1</t>
        </is>
      </c>
      <c r="C18" s="3" t="inlineStr">
        <is>
          <t>Campus</t>
        </is>
      </c>
      <c r="D18" s="3" t="n">
        <v>1</v>
      </c>
      <c r="E18" s="3" t="inlineStr">
        <is>
          <t>Sí</t>
        </is>
      </c>
      <c r="F18" s="3" t="inlineStr"/>
    </row>
    <row r="19">
      <c r="A19" s="3" t="inlineStr">
        <is>
          <t>AULA911_CAMPUS</t>
        </is>
      </c>
      <c r="B19" s="3" t="inlineStr">
        <is>
          <t>col_2</t>
        </is>
      </c>
      <c r="C19" s="3" t="inlineStr">
        <is>
          <t>Tiempo acepta (min)</t>
        </is>
      </c>
      <c r="D19" s="3" t="n">
        <v>2</v>
      </c>
      <c r="E19" s="3" t="inlineStr">
        <is>
          <t>Sí</t>
        </is>
      </c>
      <c r="F19" s="3" t="inlineStr"/>
    </row>
    <row r="20">
      <c r="A20" s="3" t="inlineStr">
        <is>
          <t>AULA911_CAMPUS</t>
        </is>
      </c>
      <c r="B20" s="3" t="inlineStr">
        <is>
          <t>col_3</t>
        </is>
      </c>
      <c r="C20" s="3" t="inlineStr">
        <is>
          <t>Tiempo atiende (min)</t>
        </is>
      </c>
      <c r="D20" s="3" t="n">
        <v>3</v>
      </c>
      <c r="E20" s="3" t="inlineStr">
        <is>
          <t>Sí</t>
        </is>
      </c>
      <c r="F20" s="3" t="inlineStr"/>
    </row>
    <row r="21">
      <c r="A21" s="3" t="inlineStr">
        <is>
          <t>AULA911_CAMPUS</t>
        </is>
      </c>
      <c r="B21" s="3" t="inlineStr">
        <is>
          <t>col_4</t>
        </is>
      </c>
      <c r="C21" s="3" t="inlineStr">
        <is>
          <t>Tiempo total (min)</t>
        </is>
      </c>
      <c r="D21" s="3" t="n">
        <v>4</v>
      </c>
      <c r="E21" s="3" t="inlineStr">
        <is>
          <t>Sí</t>
        </is>
      </c>
      <c r="F21" s="3" t="inlineStr"/>
    </row>
    <row r="22">
      <c r="A22" s="3" t="inlineStr">
        <is>
          <t>AULA911_CAMPUS</t>
        </is>
      </c>
      <c r="B22" s="3" t="inlineStr">
        <is>
          <t>col_5</t>
        </is>
      </c>
      <c r="C22" s="3" t="inlineStr">
        <is>
          <t>Valoración</t>
        </is>
      </c>
      <c r="D22" s="3" t="n">
        <v>5</v>
      </c>
      <c r="E22" s="3" t="inlineStr">
        <is>
          <t>Sí</t>
        </is>
      </c>
      <c r="F22" s="3" t="inlineStr"/>
    </row>
    <row r="23">
      <c r="A23" s="3" t="inlineStr">
        <is>
          <t>AULA911_CAMPUS</t>
        </is>
      </c>
      <c r="B23" s="3" t="inlineStr">
        <is>
          <t>col_6</t>
        </is>
      </c>
      <c r="C23" s="3" t="inlineStr">
        <is>
          <t>Es subsede</t>
        </is>
      </c>
      <c r="D23" s="3" t="n">
        <v>6</v>
      </c>
      <c r="E23" s="3" t="inlineStr">
        <is>
          <t>Sí</t>
        </is>
      </c>
      <c r="F23" s="3" t="inlineStr"/>
    </row>
    <row r="24">
      <c r="A24" s="3" t="inlineStr">
        <is>
          <t>RONDAS</t>
        </is>
      </c>
      <c r="B24" s="3" t="inlineStr">
        <is>
          <t>col_1</t>
        </is>
      </c>
      <c r="C24" s="3" t="inlineStr">
        <is>
          <t>Sede</t>
        </is>
      </c>
      <c r="D24" s="3" t="n">
        <v>1</v>
      </c>
      <c r="E24" s="3" t="inlineStr">
        <is>
          <t>Sí</t>
        </is>
      </c>
      <c r="F24" s="3" t="inlineStr"/>
    </row>
    <row r="25">
      <c r="A25" s="3" t="inlineStr">
        <is>
          <t>RONDAS</t>
        </is>
      </c>
      <c r="B25" s="3" t="inlineStr">
        <is>
          <t>col_2</t>
        </is>
      </c>
      <c r="C25" s="3" t="inlineStr">
        <is>
          <t># disp. asignados</t>
        </is>
      </c>
      <c r="D25" s="3" t="n">
        <v>2</v>
      </c>
      <c r="E25" s="3" t="inlineStr">
        <is>
          <t>Sí</t>
        </is>
      </c>
      <c r="F25" s="3" t="inlineStr"/>
    </row>
    <row r="26">
      <c r="A26" s="3" t="inlineStr">
        <is>
          <t>RONDAS</t>
        </is>
      </c>
      <c r="B26" s="3" t="inlineStr">
        <is>
          <t>col_3</t>
        </is>
      </c>
      <c r="C26" s="3" t="inlineStr">
        <is>
          <t># responsables</t>
        </is>
      </c>
      <c r="D26" s="3" t="n">
        <v>3</v>
      </c>
      <c r="E26" s="3" t="inlineStr">
        <is>
          <t>Sí</t>
        </is>
      </c>
      <c r="F26" s="3" t="inlineStr"/>
    </row>
    <row r="27">
      <c r="A27" s="3" t="inlineStr">
        <is>
          <t>RONDAS</t>
        </is>
      </c>
      <c r="B27" s="3" t="inlineStr">
        <is>
          <t>col_4</t>
        </is>
      </c>
      <c r="C27" s="3" t="inlineStr">
        <is>
          <t>Programado</t>
        </is>
      </c>
      <c r="D27" s="3" t="n">
        <v>4</v>
      </c>
      <c r="E27" s="3" t="inlineStr">
        <is>
          <t>Sí</t>
        </is>
      </c>
      <c r="F27" s="3" t="inlineStr"/>
    </row>
    <row r="28">
      <c r="A28" s="3" t="inlineStr">
        <is>
          <t>RONDAS</t>
        </is>
      </c>
      <c r="B28" s="3" t="inlineStr">
        <is>
          <t>col_5</t>
        </is>
      </c>
      <c r="C28" s="3" t="inlineStr">
        <is>
          <t>Ejecutado</t>
        </is>
      </c>
      <c r="D28" s="3" t="n">
        <v>5</v>
      </c>
      <c r="E28" s="3" t="inlineStr">
        <is>
          <t>Sí</t>
        </is>
      </c>
      <c r="F28" s="3" t="inlineStr"/>
    </row>
    <row r="29">
      <c r="A29" s="3" t="inlineStr">
        <is>
          <t>RONDAS</t>
        </is>
      </c>
      <c r="B29" s="3" t="inlineStr">
        <is>
          <t>col_6</t>
        </is>
      </c>
      <c r="C29" s="3" t="inlineStr">
        <is>
          <t>Cumplimiento %</t>
        </is>
      </c>
      <c r="D29" s="3" t="n">
        <v>6</v>
      </c>
      <c r="E29" s="3" t="inlineStr">
        <is>
          <t>Sí</t>
        </is>
      </c>
      <c r="F29" s="3" t="inlineStr"/>
    </row>
    <row r="30">
      <c r="A30" s="3" t="inlineStr">
        <is>
          <t>RONDAS</t>
        </is>
      </c>
      <c r="B30" s="3" t="inlineStr">
        <is>
          <t>col_7</t>
        </is>
      </c>
      <c r="C30" s="3" t="inlineStr">
        <is>
          <t>Es subsede</t>
        </is>
      </c>
      <c r="D30" s="3" t="n">
        <v>7</v>
      </c>
      <c r="E30" s="3" t="inlineStr">
        <is>
          <t>Sí</t>
        </is>
      </c>
      <c r="F30" s="3" t="inlineStr"/>
    </row>
    <row r="31">
      <c r="A31" s="3" t="inlineStr">
        <is>
          <t>PROYECTOS</t>
        </is>
      </c>
      <c r="B31" s="3" t="inlineStr">
        <is>
          <t>col_1</t>
        </is>
      </c>
      <c r="C31" s="3" t="inlineStr">
        <is>
          <t>Proyecto</t>
        </is>
      </c>
      <c r="D31" s="3" t="n">
        <v>1</v>
      </c>
      <c r="E31" s="3" t="inlineStr">
        <is>
          <t>Sí</t>
        </is>
      </c>
      <c r="F31" s="3" t="inlineStr"/>
    </row>
    <row r="32">
      <c r="A32" s="3" t="inlineStr">
        <is>
          <t>PROYECTOS</t>
        </is>
      </c>
      <c r="B32" s="3" t="inlineStr">
        <is>
          <t>col_2</t>
        </is>
      </c>
      <c r="C32" s="3" t="inlineStr">
        <is>
          <t>Estado</t>
        </is>
      </c>
      <c r="D32" s="3" t="n">
        <v>2</v>
      </c>
      <c r="E32" s="3" t="inlineStr">
        <is>
          <t>Sí</t>
        </is>
      </c>
      <c r="F32" s="3" t="inlineStr"/>
    </row>
    <row r="33">
      <c r="A33" s="3" t="inlineStr">
        <is>
          <t>PROYECTOS</t>
        </is>
      </c>
      <c r="B33" s="3" t="inlineStr">
        <is>
          <t>col_3</t>
        </is>
      </c>
      <c r="C33" s="3" t="inlineStr">
        <is>
          <t>Avance obra %</t>
        </is>
      </c>
      <c r="D33" s="3" t="n">
        <v>3</v>
      </c>
      <c r="E33" s="3" t="inlineStr">
        <is>
          <t>Sí</t>
        </is>
      </c>
      <c r="F33" s="3" t="inlineStr"/>
    </row>
    <row r="34">
      <c r="A34" s="3" t="inlineStr">
        <is>
          <t>PROYECTOS</t>
        </is>
      </c>
      <c r="B34" s="3" t="inlineStr">
        <is>
          <t>col_4</t>
        </is>
      </c>
      <c r="C34" s="3" t="inlineStr">
        <is>
          <t>Avance compras %</t>
        </is>
      </c>
      <c r="D34" s="3" t="n">
        <v>4</v>
      </c>
      <c r="E34" s="3" t="inlineStr">
        <is>
          <t>Sí</t>
        </is>
      </c>
      <c r="F34" s="3" t="inlineStr"/>
    </row>
    <row r="35">
      <c r="A35" s="3" t="inlineStr">
        <is>
          <t>PROYECTOS</t>
        </is>
      </c>
      <c r="B35" s="3" t="inlineStr">
        <is>
          <t>col_5</t>
        </is>
      </c>
      <c r="C35" s="3" t="inlineStr">
        <is>
          <t>Fecha objetivo</t>
        </is>
      </c>
      <c r="D35" s="3" t="n">
        <v>5</v>
      </c>
      <c r="E35" s="3" t="inlineStr">
        <is>
          <t>Sí</t>
        </is>
      </c>
      <c r="F35" s="3" t="inlineStr"/>
    </row>
    <row r="36">
      <c r="A36" s="3" t="inlineStr">
        <is>
          <t>PROYECTOS</t>
        </is>
      </c>
      <c r="B36" s="3" t="inlineStr">
        <is>
          <t>col_6</t>
        </is>
      </c>
      <c r="C36" s="3" t="inlineStr">
        <is>
          <t>Con observaciones</t>
        </is>
      </c>
      <c r="D36" s="3" t="n">
        <v>6</v>
      </c>
      <c r="E36" s="3" t="inlineStr">
        <is>
          <t>Sí</t>
        </is>
      </c>
      <c r="F36" s="3" t="inlineStr"/>
    </row>
    <row r="37">
      <c r="A37" s="3" t="inlineStr">
        <is>
          <t>PROYECTOS</t>
        </is>
      </c>
      <c r="B37" s="3" t="inlineStr">
        <is>
          <t>col_7</t>
        </is>
      </c>
      <c r="C37" s="3" t="inlineStr">
        <is>
          <t>Nueva fecha</t>
        </is>
      </c>
      <c r="D37" s="3" t="n">
        <v>7</v>
      </c>
      <c r="E37" s="3" t="inlineStr">
        <is>
          <t>Sí</t>
        </is>
      </c>
      <c r="F37" s="3" t="inlineStr"/>
    </row>
    <row r="38">
      <c r="A38" s="3" t="inlineStr">
        <is>
          <t>PROYECTO_DETALLE</t>
        </is>
      </c>
      <c r="B38" s="3" t="inlineStr">
        <is>
          <t>col_1</t>
        </is>
      </c>
      <c r="C38" s="3" t="inlineStr">
        <is>
          <t>Campus</t>
        </is>
      </c>
      <c r="D38" s="3" t="n">
        <v>1</v>
      </c>
      <c r="E38" s="3" t="inlineStr">
        <is>
          <t>Sí</t>
        </is>
      </c>
      <c r="F38" s="3" t="inlineStr"/>
    </row>
    <row r="39">
      <c r="A39" s="3" t="inlineStr">
        <is>
          <t>PROYECTO_DETALLE</t>
        </is>
      </c>
      <c r="B39" s="3" t="inlineStr">
        <is>
          <t>col_2</t>
        </is>
      </c>
      <c r="C39" s="3" t="inlineStr">
        <is>
          <t>Descripción</t>
        </is>
      </c>
      <c r="D39" s="3" t="n">
        <v>2</v>
      </c>
      <c r="E39" s="3" t="inlineStr">
        <is>
          <t>Sí</t>
        </is>
      </c>
      <c r="F39" s="3" t="inlineStr"/>
    </row>
    <row r="40">
      <c r="A40" s="3" t="inlineStr">
        <is>
          <t>PROYECTO_DETALLE</t>
        </is>
      </c>
      <c r="B40" s="3" t="inlineStr">
        <is>
          <t>col_3</t>
        </is>
      </c>
      <c r="C40" s="3" t="inlineStr">
        <is>
          <t>Avance obra %</t>
        </is>
      </c>
      <c r="D40" s="3" t="n">
        <v>3</v>
      </c>
      <c r="E40" s="3" t="inlineStr">
        <is>
          <t>Sí</t>
        </is>
      </c>
      <c r="F40" s="3" t="inlineStr"/>
    </row>
    <row r="41">
      <c r="A41" s="3" t="inlineStr">
        <is>
          <t>PROYECTO_DETALLE</t>
        </is>
      </c>
      <c r="B41" s="3" t="inlineStr">
        <is>
          <t>col_4</t>
        </is>
      </c>
      <c r="C41" s="3" t="inlineStr">
        <is>
          <t>Avance compras %</t>
        </is>
      </c>
      <c r="D41" s="3" t="n">
        <v>4</v>
      </c>
      <c r="E41" s="3" t="inlineStr">
        <is>
          <t>Sí</t>
        </is>
      </c>
      <c r="F41" s="3" t="inlineStr"/>
    </row>
    <row r="42">
      <c r="A42" s="3" t="inlineStr">
        <is>
          <t>PROYECTO_DETALLE</t>
        </is>
      </c>
      <c r="B42" s="3" t="inlineStr">
        <is>
          <t>col_5</t>
        </is>
      </c>
      <c r="C42" s="3" t="inlineStr">
        <is>
          <t>Avance implementación %</t>
        </is>
      </c>
      <c r="D42" s="3" t="n">
        <v>5</v>
      </c>
      <c r="E42" s="3" t="inlineStr">
        <is>
          <t>Sí</t>
        </is>
      </c>
      <c r="F42" s="3" t="inlineStr"/>
    </row>
    <row r="43">
      <c r="A43" s="3" t="inlineStr">
        <is>
          <t>PROYECTO_DETALLE</t>
        </is>
      </c>
      <c r="B43" s="3" t="inlineStr">
        <is>
          <t>col_6</t>
        </is>
      </c>
      <c r="C43" s="3" t="inlineStr">
        <is>
          <t>Fecha objetivo</t>
        </is>
      </c>
      <c r="D43" s="3" t="n">
        <v>6</v>
      </c>
      <c r="E43" s="3" t="inlineStr">
        <is>
          <t>Sí</t>
        </is>
      </c>
      <c r="F43" s="3" t="inlineStr"/>
    </row>
    <row r="44">
      <c r="A44" s="3" t="inlineStr">
        <is>
          <t>PROYECTO_DETALLE</t>
        </is>
      </c>
      <c r="B44" s="3" t="inlineStr">
        <is>
          <t>col_7</t>
        </is>
      </c>
      <c r="C44" s="3" t="inlineStr">
        <is>
          <t>URL seguimiento</t>
        </is>
      </c>
      <c r="D44" s="3" t="n">
        <v>7</v>
      </c>
      <c r="E44" s="3" t="inlineStr">
        <is>
          <t>Sí</t>
        </is>
      </c>
      <c r="F44" s="3" t="inlineStr"/>
    </row>
    <row r="45">
      <c r="A45" s="3" t="inlineStr">
        <is>
          <t>IMPLEMENTACIONES</t>
        </is>
      </c>
      <c r="B45" s="3" t="inlineStr">
        <is>
          <t>col_1</t>
        </is>
      </c>
      <c r="C45" s="3" t="inlineStr">
        <is>
          <t>Título</t>
        </is>
      </c>
      <c r="D45" s="3" t="n">
        <v>1</v>
      </c>
      <c r="E45" s="3" t="inlineStr">
        <is>
          <t>Sí</t>
        </is>
      </c>
      <c r="F45" s="3" t="inlineStr"/>
    </row>
    <row r="46">
      <c r="A46" s="3" t="inlineStr">
        <is>
          <t>IMPLEMENTACIONES</t>
        </is>
      </c>
      <c r="B46" s="3" t="inlineStr">
        <is>
          <t>col_2</t>
        </is>
      </c>
      <c r="C46" s="3" t="inlineStr">
        <is>
          <t>Avance %</t>
        </is>
      </c>
      <c r="D46" s="3" t="n">
        <v>2</v>
      </c>
      <c r="E46" s="3" t="inlineStr">
        <is>
          <t>Sí</t>
        </is>
      </c>
      <c r="F46" s="3" t="inlineStr"/>
    </row>
    <row r="47">
      <c r="A47" s="3" t="inlineStr">
        <is>
          <t>IMPLEMENTACIONES</t>
        </is>
      </c>
      <c r="B47" s="3" t="inlineStr">
        <is>
          <t>col_3</t>
        </is>
      </c>
      <c r="C47" s="3" t="inlineStr">
        <is>
          <t>URL</t>
        </is>
      </c>
      <c r="D47" s="3" t="n">
        <v>3</v>
      </c>
      <c r="E47" s="3" t="inlineStr">
        <is>
          <t>Sí</t>
        </is>
      </c>
      <c r="F47" s="3" t="inlineStr"/>
    </row>
    <row r="48">
      <c r="A48" s="3" t="inlineStr">
        <is>
          <t>LISTO</t>
        </is>
      </c>
      <c r="B48" s="3" t="inlineStr">
        <is>
          <t>col_1</t>
        </is>
      </c>
      <c r="C48" s="3" t="inlineStr">
        <is>
          <t>Campus</t>
        </is>
      </c>
      <c r="D48" s="3" t="n">
        <v>1</v>
      </c>
      <c r="E48" s="3" t="inlineStr">
        <is>
          <t>Sí</t>
        </is>
      </c>
      <c r="F48" s="3" t="inlineStr"/>
    </row>
    <row r="49">
      <c r="A49" s="3" t="inlineStr">
        <is>
          <t>LISTO</t>
        </is>
      </c>
      <c r="B49" s="3" t="inlineStr">
        <is>
          <t>col_2</t>
        </is>
      </c>
      <c r="C49" s="3" t="inlineStr">
        <is>
          <t>Diseño %</t>
        </is>
      </c>
      <c r="D49" s="3" t="n">
        <v>2</v>
      </c>
      <c r="E49" s="3" t="inlineStr">
        <is>
          <t>Sí</t>
        </is>
      </c>
      <c r="F49" s="3" t="inlineStr"/>
    </row>
    <row r="50">
      <c r="A50" s="3" t="inlineStr">
        <is>
          <t>LISTO</t>
        </is>
      </c>
      <c r="B50" s="3" t="inlineStr">
        <is>
          <t>col_3</t>
        </is>
      </c>
      <c r="C50" s="3" t="inlineStr">
        <is>
          <t>Obra %</t>
        </is>
      </c>
      <c r="D50" s="3" t="n">
        <v>3</v>
      </c>
      <c r="E50" s="3" t="inlineStr">
        <is>
          <t>Sí</t>
        </is>
      </c>
      <c r="F50" s="3" t="inlineStr"/>
    </row>
    <row r="51">
      <c r="A51" s="3" t="inlineStr">
        <is>
          <t>LISTO</t>
        </is>
      </c>
      <c r="B51" s="3" t="inlineStr">
        <is>
          <t>col_4</t>
        </is>
      </c>
      <c r="C51" s="3" t="inlineStr">
        <is>
          <t>Operación</t>
        </is>
      </c>
      <c r="D51" s="3" t="n">
        <v>4</v>
      </c>
      <c r="E51" s="3" t="inlineStr">
        <is>
          <t>Sí</t>
        </is>
      </c>
      <c r="F51" s="3" t="inlineStr"/>
    </row>
    <row r="52">
      <c r="A52" s="3" t="inlineStr">
        <is>
          <t>LISTO</t>
        </is>
      </c>
      <c r="B52" s="3" t="inlineStr">
        <is>
          <t>col_5</t>
        </is>
      </c>
      <c r="C52" s="3" t="inlineStr">
        <is>
          <t>Fecha objetivo</t>
        </is>
      </c>
      <c r="D52" s="3" t="n">
        <v>5</v>
      </c>
      <c r="E52" s="3" t="inlineStr">
        <is>
          <t>Sí</t>
        </is>
      </c>
      <c r="F52" s="3" t="inlineStr"/>
    </row>
    <row r="53">
      <c r="A53" s="3" t="inlineStr">
        <is>
          <t>LISTO</t>
        </is>
      </c>
      <c r="B53" s="3" t="inlineStr">
        <is>
          <t>col_6</t>
        </is>
      </c>
      <c r="C53" s="3" t="inlineStr">
        <is>
          <t>Con observación</t>
        </is>
      </c>
      <c r="D53" s="3" t="n">
        <v>6</v>
      </c>
      <c r="E53" s="3" t="inlineStr">
        <is>
          <t>Sí</t>
        </is>
      </c>
      <c r="F53" s="3" t="inlineStr"/>
    </row>
    <row r="54">
      <c r="A54" s="3" t="inlineStr">
        <is>
          <t>LISTO</t>
        </is>
      </c>
      <c r="B54" s="3" t="inlineStr">
        <is>
          <t>col_7</t>
        </is>
      </c>
      <c r="C54" s="3" t="inlineStr">
        <is>
          <t>Nueva fecha</t>
        </is>
      </c>
      <c r="D54" s="3" t="n">
        <v>7</v>
      </c>
      <c r="E54" s="3" t="inlineStr">
        <is>
          <t>Sí</t>
        </is>
      </c>
      <c r="F54" s="3" t="inlineStr"/>
    </row>
    <row r="55">
      <c r="A55" t="inlineStr">
        <is>
          <t>MEJORAS_PROGRAMACION</t>
        </is>
      </c>
      <c r="B55" t="inlineStr">
        <is>
          <t>col_1</t>
        </is>
      </c>
      <c r="C55" t="inlineStr">
        <is>
          <t>CAMPUS</t>
        </is>
      </c>
      <c r="D55" t="n">
        <v>1</v>
      </c>
      <c r="E55" t="inlineStr">
        <is>
          <t>Sí</t>
        </is>
      </c>
      <c r="F55" t="inlineStr">
        <is>
          <t>texto</t>
        </is>
      </c>
    </row>
    <row r="56">
      <c r="A56" t="inlineStr">
        <is>
          <t>MEJORAS_PROGRAMACION</t>
        </is>
      </c>
      <c r="B56" t="inlineStr">
        <is>
          <t>col_2</t>
        </is>
      </c>
      <c r="C56" t="inlineStr">
        <is>
          <t>Fecha inicio</t>
        </is>
      </c>
      <c r="D56" t="n">
        <v>2</v>
      </c>
      <c r="E56" t="inlineStr">
        <is>
          <t>No</t>
        </is>
      </c>
      <c r="F56" t="inlineStr">
        <is>
          <t>fecha</t>
        </is>
      </c>
    </row>
    <row r="57">
      <c r="A57" t="inlineStr">
        <is>
          <t>MEJORAS_PROGRAMACION</t>
        </is>
      </c>
      <c r="B57" t="inlineStr">
        <is>
          <t>col_3</t>
        </is>
      </c>
      <c r="C57" t="inlineStr">
        <is>
          <t>Fecha fin</t>
        </is>
      </c>
      <c r="D57" t="n">
        <v>3</v>
      </c>
      <c r="E57" t="inlineStr">
        <is>
          <t>No</t>
        </is>
      </c>
      <c r="F57" t="inlineStr">
        <is>
          <t>fecha</t>
        </is>
      </c>
    </row>
    <row r="58">
      <c r="A58" t="inlineStr">
        <is>
          <t>MEJORAS_PROGRAMACION</t>
        </is>
      </c>
      <c r="B58" t="inlineStr">
        <is>
          <t>col_4</t>
        </is>
      </c>
      <c r="C58" t="inlineStr">
        <is>
          <t>&lt;1/03/2026</t>
        </is>
      </c>
      <c r="D58" t="n">
        <v>4</v>
      </c>
      <c r="E58" t="inlineStr">
        <is>
          <t>Sí</t>
        </is>
      </c>
      <c r="F58" t="inlineStr">
        <is>
          <t>entero</t>
        </is>
      </c>
    </row>
    <row r="59">
      <c r="A59" t="inlineStr">
        <is>
          <t>MEJORAS_PROGRAMACION</t>
        </is>
      </c>
      <c r="B59" t="inlineStr">
        <is>
          <t>col_5</t>
        </is>
      </c>
      <c r="C59" t="inlineStr">
        <is>
          <t>Mar</t>
        </is>
      </c>
      <c r="D59" t="n">
        <v>5</v>
      </c>
      <c r="E59" t="inlineStr">
        <is>
          <t>Sí</t>
        </is>
      </c>
      <c r="F59" t="inlineStr">
        <is>
          <t>entero</t>
        </is>
      </c>
    </row>
    <row r="60">
      <c r="A60" t="inlineStr">
        <is>
          <t>MEJORAS_PROGRAMACION</t>
        </is>
      </c>
      <c r="B60" t="inlineStr">
        <is>
          <t>col_6</t>
        </is>
      </c>
      <c r="C60" t="inlineStr">
        <is>
          <t>Abr</t>
        </is>
      </c>
      <c r="D60" t="n">
        <v>6</v>
      </c>
      <c r="E60" t="inlineStr">
        <is>
          <t>Sí</t>
        </is>
      </c>
      <c r="F60" t="inlineStr">
        <is>
          <t>entero</t>
        </is>
      </c>
    </row>
    <row r="61">
      <c r="A61" t="inlineStr">
        <is>
          <t>MEJORAS_PROGRAMACION</t>
        </is>
      </c>
      <c r="B61" t="inlineStr">
        <is>
          <t>col_7</t>
        </is>
      </c>
      <c r="C61" t="inlineStr">
        <is>
          <t>May</t>
        </is>
      </c>
      <c r="D61" t="n">
        <v>7</v>
      </c>
      <c r="E61" t="inlineStr">
        <is>
          <t>Sí</t>
        </is>
      </c>
      <c r="F61" t="inlineStr">
        <is>
          <t>entero</t>
        </is>
      </c>
    </row>
    <row r="62">
      <c r="A62" t="inlineStr">
        <is>
          <t>MEJORAS_PROGRAMACION</t>
        </is>
      </c>
      <c r="B62" t="inlineStr">
        <is>
          <t>col_8</t>
        </is>
      </c>
      <c r="C62" t="inlineStr">
        <is>
          <t>Jun</t>
        </is>
      </c>
      <c r="D62" t="n">
        <v>8</v>
      </c>
      <c r="E62" t="inlineStr">
        <is>
          <t>Sí</t>
        </is>
      </c>
      <c r="F62" t="inlineStr">
        <is>
          <t>entero</t>
        </is>
      </c>
    </row>
    <row r="63">
      <c r="A63" t="inlineStr">
        <is>
          <t>MEJORAS_PROGRAMACION</t>
        </is>
      </c>
      <c r="B63" t="inlineStr">
        <is>
          <t>col_9</t>
        </is>
      </c>
      <c r="C63" t="inlineStr">
        <is>
          <t>Jul</t>
        </is>
      </c>
      <c r="D63" t="n">
        <v>9</v>
      </c>
      <c r="E63" t="inlineStr">
        <is>
          <t>Sí</t>
        </is>
      </c>
      <c r="F63" t="inlineStr">
        <is>
          <t>entero</t>
        </is>
      </c>
    </row>
    <row r="64">
      <c r="A64" t="inlineStr">
        <is>
          <t>MEJORAS_PROGRAMACION</t>
        </is>
      </c>
      <c r="B64" t="inlineStr">
        <is>
          <t>col_10</t>
        </is>
      </c>
      <c r="C64" t="inlineStr">
        <is>
          <t>Ago</t>
        </is>
      </c>
      <c r="D64" t="n">
        <v>10</v>
      </c>
      <c r="E64" t="inlineStr">
        <is>
          <t>Sí</t>
        </is>
      </c>
      <c r="F64" t="inlineStr">
        <is>
          <t>entero</t>
        </is>
      </c>
    </row>
    <row r="65">
      <c r="A65" t="inlineStr">
        <is>
          <t>MEJORAS_PROGRAMACION</t>
        </is>
      </c>
      <c r="B65" t="inlineStr">
        <is>
          <t>col_11</t>
        </is>
      </c>
      <c r="C65" t="inlineStr">
        <is>
          <t>Set</t>
        </is>
      </c>
      <c r="D65" t="n">
        <v>11</v>
      </c>
      <c r="E65" t="inlineStr">
        <is>
          <t>Sí</t>
        </is>
      </c>
      <c r="F65" t="inlineStr">
        <is>
          <t>entero</t>
        </is>
      </c>
    </row>
    <row r="66">
      <c r="A66" t="inlineStr">
        <is>
          <t>MEJORAS_PROGRAMACION</t>
        </is>
      </c>
      <c r="B66" t="inlineStr">
        <is>
          <t>col_12</t>
        </is>
      </c>
      <c r="C66" t="inlineStr">
        <is>
          <t>Oct</t>
        </is>
      </c>
      <c r="D66" t="n">
        <v>12</v>
      </c>
      <c r="E66" t="inlineStr">
        <is>
          <t>Sí</t>
        </is>
      </c>
      <c r="F66" t="inlineStr">
        <is>
          <t>entero</t>
        </is>
      </c>
    </row>
    <row r="67">
      <c r="A67" t="inlineStr">
        <is>
          <t>MEJORAS_PROGRAMACION</t>
        </is>
      </c>
      <c r="B67" t="inlineStr">
        <is>
          <t>col_13</t>
        </is>
      </c>
      <c r="C67" t="inlineStr">
        <is>
          <t>Nov</t>
        </is>
      </c>
      <c r="D67" t="n">
        <v>13</v>
      </c>
      <c r="E67" t="inlineStr">
        <is>
          <t>Sí</t>
        </is>
      </c>
      <c r="F67" t="inlineStr">
        <is>
          <t>entero</t>
        </is>
      </c>
    </row>
    <row r="68">
      <c r="A68" t="inlineStr">
        <is>
          <t>MEJORAS_PROGRAMACION</t>
        </is>
      </c>
      <c r="B68" t="inlineStr">
        <is>
          <t>col_14</t>
        </is>
      </c>
      <c r="C68" t="inlineStr">
        <is>
          <t>Dic</t>
        </is>
      </c>
      <c r="D68" t="n">
        <v>14</v>
      </c>
      <c r="E68" t="inlineStr">
        <is>
          <t>Sí</t>
        </is>
      </c>
      <c r="F68" t="inlineStr">
        <is>
          <t>entero</t>
        </is>
      </c>
    </row>
    <row r="69">
      <c r="A69" t="inlineStr">
        <is>
          <t>MEJORAS_PROGRAMACION</t>
        </is>
      </c>
      <c r="B69" t="inlineStr">
        <is>
          <t>col_15</t>
        </is>
      </c>
      <c r="C69" t="inlineStr">
        <is>
          <t>Total general</t>
        </is>
      </c>
      <c r="D69" t="n">
        <v>15</v>
      </c>
      <c r="E69" t="inlineStr">
        <is>
          <t>Sí</t>
        </is>
      </c>
      <c r="F69" t="inlineStr">
        <is>
          <t>entero</t>
        </is>
      </c>
    </row>
  </sheetData>
  <pageMargins left="0.75" right="0.75" top="1" bottom="1" header="0.5" footer="0.5"/>
  <pageSetup fitToHeight="0" fitToWidth="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RowHeight="15"/>
  <cols>
    <col width="34" customWidth="1" min="1" max="1"/>
    <col width="35" customWidth="1" min="2" max="2"/>
    <col width="70" customWidth="1" min="3" max="3"/>
  </cols>
  <sheetData>
    <row r="1" ht="30" customHeight="1">
      <c r="A1" s="1" t="inlineStr">
        <is>
          <t>clave</t>
        </is>
      </c>
      <c r="B1" s="1" t="inlineStr">
        <is>
          <t>valor</t>
        </is>
      </c>
      <c r="C1" s="1" t="inlineStr">
        <is>
          <t>descripcion</t>
        </is>
      </c>
    </row>
    <row r="2">
      <c r="A2" s="3" t="inlineStr">
        <is>
          <t>archivo_excel</t>
        </is>
      </c>
      <c r="B2" s="3" t="inlineStr">
        <is>
          <t>BD_dashboard_operaciones_github.xlsx</t>
        </is>
      </c>
      <c r="C2" s="3" t="inlineStr">
        <is>
          <t>Nombre del archivo que debe leer el HTML</t>
        </is>
      </c>
    </row>
    <row r="3">
      <c r="A3" s="3" t="inlineStr">
        <is>
          <t>anio</t>
        </is>
      </c>
      <c r="B3" s="3" t="inlineStr">
        <is>
          <t>2026</t>
        </is>
      </c>
      <c r="C3" s="3" t="inlineStr">
        <is>
          <t>Año de trabajo</t>
        </is>
      </c>
    </row>
    <row r="4">
      <c r="A4" s="3" t="inlineStr">
        <is>
          <t>iniciativas_fecha_corte</t>
        </is>
      </c>
      <c r="B4" s="4" t="inlineStr">
        <is>
          <t>01/03/2026</t>
        </is>
      </c>
      <c r="C4" s="3" t="inlineStr">
        <is>
          <t>Fecha usada para la columna &lt;1/03/2026</t>
        </is>
      </c>
    </row>
    <row r="5">
      <c r="A5" s="3" t="inlineStr">
        <is>
          <t>aula911_fecha_corte</t>
        </is>
      </c>
      <c r="B5" s="3" t="inlineStr">
        <is>
          <t>22/09/2026</t>
        </is>
      </c>
      <c r="C5" s="3" t="inlineStr">
        <is>
          <t>Fecha de corte mostrada en Aula 911</t>
        </is>
      </c>
    </row>
    <row r="6">
      <c r="A6" s="3" t="inlineStr">
        <is>
          <t>rondas_fecha_corte</t>
        </is>
      </c>
      <c r="B6" s="3" t="inlineStr">
        <is>
          <t>23/09/2026</t>
        </is>
      </c>
      <c r="C6" s="3" t="inlineStr">
        <is>
          <t>Fecha de corte mostrada en Rondas</t>
        </is>
      </c>
    </row>
    <row r="7">
      <c r="A7" s="3" t="inlineStr">
        <is>
          <t>limpieza_cobertura_fecha_corte</t>
        </is>
      </c>
      <c r="B7" s="3" t="inlineStr">
        <is>
          <t>17/09/2026</t>
        </is>
      </c>
      <c r="C7" s="3" t="inlineStr">
        <is>
          <t>Fecha de cobertura</t>
        </is>
      </c>
    </row>
    <row r="8">
      <c r="A8" s="3" t="inlineStr">
        <is>
          <t>limpieza_presupuesto_corte</t>
        </is>
      </c>
      <c r="B8" s="3" t="inlineStr">
        <is>
          <t>30/09/2026</t>
        </is>
      </c>
      <c r="C8" s="3" t="inlineStr">
        <is>
          <t>Corte del presupuesto/penalidades</t>
        </is>
      </c>
    </row>
  </sheetData>
  <pageMargins left="0.75" right="0.75" top="1" bottom="1" header="0.5" footer="0.5"/>
  <pageSetup fitToHeight="0" fitToWidth="1"/>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E27"/>
  <sheetViews>
    <sheetView showGridLines="0" workbookViewId="0">
      <pane ySplit="1" topLeftCell="A2" activePane="bottomLeft" state="frozen"/>
      <selection pane="bottomLeft" activeCell="A1" sqref="A1"/>
    </sheetView>
  </sheetViews>
  <sheetFormatPr baseColWidth="8" defaultRowHeight="15"/>
  <cols>
    <col width="22" customWidth="1" min="1" max="1"/>
    <col width="32" customWidth="1" min="2" max="2"/>
    <col width="18" customWidth="1" min="3" max="3"/>
    <col width="14" customWidth="1" min="4" max="4"/>
    <col width="40" customWidth="1" min="5" max="5"/>
  </cols>
  <sheetData>
    <row r="1" ht="30" customHeight="1">
      <c r="A1" s="1" t="inlineStr">
        <is>
          <t>modulo</t>
        </is>
      </c>
      <c r="B1" s="1" t="inlineStr">
        <is>
          <t>indicador</t>
        </is>
      </c>
      <c r="C1" s="1" t="inlineStr">
        <is>
          <t>valor</t>
        </is>
      </c>
      <c r="D1" s="1" t="inlineStr">
        <is>
          <t>unidad</t>
        </is>
      </c>
      <c r="E1" s="1" t="inlineStr">
        <is>
          <t>descripcion</t>
        </is>
      </c>
    </row>
    <row r="2">
      <c r="A2" s="3" t="inlineStr">
        <is>
          <t>Limpieza</t>
        </is>
      </c>
      <c r="B2" s="3" t="inlineStr">
        <is>
          <t>Cobertura total</t>
        </is>
      </c>
      <c r="C2" s="3" t="n">
        <v>0.95</v>
      </c>
      <c r="D2" s="3" t="inlineStr">
        <is>
          <t>porcentaje</t>
        </is>
      </c>
      <c r="E2" s="3" t="inlineStr">
        <is>
          <t>Cobertura total</t>
        </is>
      </c>
    </row>
    <row r="3">
      <c r="A3" s="3" t="inlineStr">
        <is>
          <t>Limpieza</t>
        </is>
      </c>
      <c r="B3" s="3" t="inlineStr">
        <is>
          <t>Cobertura semanal total</t>
        </is>
      </c>
      <c r="C3" s="3" t="n">
        <v>0.95</v>
      </c>
      <c r="D3" s="3" t="inlineStr">
        <is>
          <t>porcentaje</t>
        </is>
      </c>
      <c r="E3" s="3" t="inlineStr">
        <is>
          <t>Alias compatible con HTML</t>
        </is>
      </c>
    </row>
    <row r="4">
      <c r="A4" s="3" t="inlineStr">
        <is>
          <t>Limpieza</t>
        </is>
      </c>
      <c r="B4" s="3" t="inlineStr">
        <is>
          <t>Dotación programada (turnos)</t>
        </is>
      </c>
      <c r="C4" s="3" t="n">
        <v>616</v>
      </c>
      <c r="D4" s="3" t="inlineStr">
        <is>
          <t>entero</t>
        </is>
      </c>
      <c r="E4" s="3" t="inlineStr">
        <is>
          <t>Turnos programados</t>
        </is>
      </c>
    </row>
    <row r="5">
      <c r="A5" s="3" t="inlineStr">
        <is>
          <t>Limpieza</t>
        </is>
      </c>
      <c r="B5" s="3" t="inlineStr">
        <is>
          <t>Turnos cubiertos</t>
        </is>
      </c>
      <c r="C5" s="3" t="n">
        <v>584</v>
      </c>
      <c r="D5" s="3" t="inlineStr">
        <is>
          <t>entero</t>
        </is>
      </c>
      <c r="E5" s="3" t="inlineStr">
        <is>
          <t>Turnos cubiertos</t>
        </is>
      </c>
    </row>
    <row r="6">
      <c r="A6" s="3" t="inlineStr">
        <is>
          <t>Limpieza</t>
        </is>
      </c>
      <c r="B6" s="3" t="inlineStr">
        <is>
          <t>Turnos pendientes</t>
        </is>
      </c>
      <c r="C6" s="3" t="n">
        <v>32</v>
      </c>
      <c r="D6" s="3" t="inlineStr">
        <is>
          <t>entero</t>
        </is>
      </c>
      <c r="E6" s="3" t="inlineStr">
        <is>
          <t>Turnos pendientes</t>
        </is>
      </c>
    </row>
    <row r="7">
      <c r="A7" s="3" t="inlineStr">
        <is>
          <t>Limpieza</t>
        </is>
      </c>
      <c r="B7" s="3" t="inlineStr">
        <is>
          <t>Presupuesto 2026</t>
        </is>
      </c>
      <c r="C7" s="3" t="n">
        <v>18000000</v>
      </c>
      <c r="D7" s="3" t="inlineStr">
        <is>
          <t>moneda</t>
        </is>
      </c>
      <c r="E7" s="3" t="inlineStr">
        <is>
          <t>Presupuesto</t>
        </is>
      </c>
    </row>
    <row r="8">
      <c r="A8" s="3" t="inlineStr">
        <is>
          <t>Limpieza</t>
        </is>
      </c>
      <c r="B8" s="3" t="inlineStr">
        <is>
          <t>Presupuesto ejecutado</t>
        </is>
      </c>
      <c r="C8" s="3" t="n">
        <v>11200000</v>
      </c>
      <c r="D8" s="3" t="inlineStr">
        <is>
          <t>moneda</t>
        </is>
      </c>
      <c r="E8" s="3" t="inlineStr">
        <is>
          <t>Ejecutado</t>
        </is>
      </c>
    </row>
    <row r="9">
      <c r="A9" s="3" t="inlineStr">
        <is>
          <t>Limpieza</t>
        </is>
      </c>
      <c r="B9" s="3" t="inlineStr">
        <is>
          <t>Nivel de ejecución</t>
        </is>
      </c>
      <c r="C9" s="3" t="n">
        <v>0.622</v>
      </c>
      <c r="D9" s="3" t="inlineStr">
        <is>
          <t>porcentaje</t>
        </is>
      </c>
      <c r="E9" s="3" t="inlineStr">
        <is>
          <t>Ejecutado / presupuesto</t>
        </is>
      </c>
    </row>
    <row r="10">
      <c r="A10" s="3" t="inlineStr">
        <is>
          <t>Limpieza</t>
        </is>
      </c>
      <c r="B10" s="3" t="inlineStr">
        <is>
          <t>Descuentos + penalidades</t>
        </is>
      </c>
      <c r="C10" s="3" t="n">
        <v>222439</v>
      </c>
      <c r="D10" s="3" t="inlineStr">
        <is>
          <t>moneda</t>
        </is>
      </c>
      <c r="E10" s="3" t="inlineStr">
        <is>
          <t>Total</t>
        </is>
      </c>
    </row>
    <row r="11">
      <c r="A11" s="3" t="inlineStr">
        <is>
          <t>Aula 911</t>
        </is>
      </c>
      <c r="B11" s="3" t="inlineStr">
        <is>
          <t># incidencias</t>
        </is>
      </c>
      <c r="C11" s="3" t="n">
        <v>23261</v>
      </c>
      <c r="D11" s="3" t="inlineStr">
        <is>
          <t>entero</t>
        </is>
      </c>
      <c r="E11" s="3" t="inlineStr">
        <is>
          <t>Incidencias</t>
        </is>
      </c>
    </row>
    <row r="12">
      <c r="A12" s="3" t="inlineStr">
        <is>
          <t>Aula 911</t>
        </is>
      </c>
      <c r="B12" s="3" t="inlineStr">
        <is>
          <t>Tiempo acepta solicitud</t>
        </is>
      </c>
      <c r="C12" s="3" t="n">
        <v>4.7</v>
      </c>
      <c r="D12" s="3" t="inlineStr">
        <is>
          <t>minutos</t>
        </is>
      </c>
      <c r="E12" s="3" t="inlineStr">
        <is>
          <t>Minutos</t>
        </is>
      </c>
    </row>
    <row r="13">
      <c r="A13" s="3" t="inlineStr">
        <is>
          <t>Aula 911</t>
        </is>
      </c>
      <c r="B13" s="3" t="inlineStr">
        <is>
          <t>Tiempo atiende solicitud</t>
        </is>
      </c>
      <c r="C13" s="3" t="n">
        <v>4.7</v>
      </c>
      <c r="D13" s="3" t="inlineStr">
        <is>
          <t>minutos</t>
        </is>
      </c>
      <c r="E13" s="3" t="inlineStr">
        <is>
          <t>Minutos</t>
        </is>
      </c>
    </row>
    <row r="14">
      <c r="A14" s="3" t="inlineStr">
        <is>
          <t>Aula 911</t>
        </is>
      </c>
      <c r="B14" s="3" t="inlineStr">
        <is>
          <t>Tiempo total de atención</t>
        </is>
      </c>
      <c r="C14" s="3" t="n">
        <v>9.4</v>
      </c>
      <c r="D14" s="3" t="inlineStr">
        <is>
          <t>minutos</t>
        </is>
      </c>
      <c r="E14" s="3" t="inlineStr">
        <is>
          <t>Minutos</t>
        </is>
      </c>
    </row>
    <row r="15">
      <c r="A15" s="3" t="inlineStr">
        <is>
          <t>Aula 911</t>
        </is>
      </c>
      <c r="B15" s="3" t="inlineStr">
        <is>
          <t>Valoración general</t>
        </is>
      </c>
      <c r="C15" s="3" t="n">
        <v>4.5</v>
      </c>
      <c r="D15" s="3" t="inlineStr">
        <is>
          <t>decimal</t>
        </is>
      </c>
      <c r="E15" s="3" t="inlineStr">
        <is>
          <t>Satisfacción</t>
        </is>
      </c>
    </row>
    <row r="16">
      <c r="A16" s="3" t="inlineStr">
        <is>
          <t>Rondas</t>
        </is>
      </c>
      <c r="B16" s="3" t="inlineStr">
        <is>
          <t>% cumplimiento</t>
        </is>
      </c>
      <c r="C16" s="3" t="n">
        <v>0.72</v>
      </c>
      <c r="D16" s="3" t="inlineStr">
        <is>
          <t>porcentaje</t>
        </is>
      </c>
      <c r="E16" s="3" t="inlineStr">
        <is>
          <t>Cumplimiento total</t>
        </is>
      </c>
    </row>
    <row r="17">
      <c r="A17" s="3" t="inlineStr">
        <is>
          <t>Rondas</t>
        </is>
      </c>
      <c r="B17" s="3" t="inlineStr">
        <is>
          <t>% cumplimiento encargado</t>
        </is>
      </c>
      <c r="C17" s="3" t="n">
        <v>0.58</v>
      </c>
      <c r="D17" s="3" t="inlineStr">
        <is>
          <t>porcentaje</t>
        </is>
      </c>
      <c r="E17" s="3" t="inlineStr">
        <is>
          <t>Cumplimiento encargado</t>
        </is>
      </c>
    </row>
    <row r="18">
      <c r="A18" s="3" t="inlineStr">
        <is>
          <t>Rondas</t>
        </is>
      </c>
      <c r="B18" s="3" t="inlineStr">
        <is>
          <t>% cumplimiento Asistente</t>
        </is>
      </c>
      <c r="C18" s="3" t="n">
        <v>0.77</v>
      </c>
      <c r="D18" s="3" t="inlineStr">
        <is>
          <t>porcentaje</t>
        </is>
      </c>
      <c r="E18" s="3" t="inlineStr">
        <is>
          <t>Cumplimiento asistente</t>
        </is>
      </c>
    </row>
    <row r="19">
      <c r="A19" s="3" t="inlineStr">
        <is>
          <t>Rondas</t>
        </is>
      </c>
      <c r="B19" s="3" t="inlineStr">
        <is>
          <t>Total programado</t>
        </is>
      </c>
      <c r="C19" s="3" t="n">
        <v>120557</v>
      </c>
      <c r="D19" s="3" t="inlineStr">
        <is>
          <t>entero</t>
        </is>
      </c>
      <c r="E19" s="3" t="inlineStr">
        <is>
          <t>Programado</t>
        </is>
      </c>
    </row>
    <row r="20">
      <c r="A20" s="3" t="inlineStr">
        <is>
          <t>Rondas</t>
        </is>
      </c>
      <c r="B20" s="3" t="inlineStr">
        <is>
          <t>Total ejecutado</t>
        </is>
      </c>
      <c r="C20" s="3" t="n">
        <v>114513</v>
      </c>
      <c r="D20" s="3" t="inlineStr">
        <is>
          <t>entero</t>
        </is>
      </c>
      <c r="E20" s="3" t="inlineStr">
        <is>
          <t>Ejecutado</t>
        </is>
      </c>
    </row>
    <row r="21">
      <c r="A21" s="3" t="inlineStr">
        <is>
          <t>Rondas</t>
        </is>
      </c>
      <c r="B21" s="3" t="inlineStr">
        <is>
          <t># checkpoints</t>
        </is>
      </c>
      <c r="C21" s="3" t="n">
        <v>678</v>
      </c>
      <c r="D21" s="3" t="inlineStr">
        <is>
          <t>entero</t>
        </is>
      </c>
      <c r="E21" s="3" t="inlineStr">
        <is>
          <t>Checkpoints</t>
        </is>
      </c>
    </row>
    <row r="22">
      <c r="A22" s="3" t="inlineStr">
        <is>
          <t>Proyectos</t>
        </is>
      </c>
      <c r="B22" s="3" t="inlineStr">
        <is>
          <t>Proyectos</t>
        </is>
      </c>
      <c r="C22" s="3" t="n">
        <v>19</v>
      </c>
      <c r="D22" s="3" t="inlineStr">
        <is>
          <t>entero</t>
        </is>
      </c>
      <c r="E22" s="3" t="inlineStr">
        <is>
          <t>Total proyectos</t>
        </is>
      </c>
    </row>
    <row r="23">
      <c r="A23" s="3" t="inlineStr">
        <is>
          <t>Proyectos</t>
        </is>
      </c>
      <c r="B23" s="3" t="inlineStr">
        <is>
          <t>En proceso</t>
        </is>
      </c>
      <c r="C23" s="3" t="n">
        <v>8</v>
      </c>
      <c r="D23" s="3" t="inlineStr">
        <is>
          <t>entero</t>
        </is>
      </c>
      <c r="E23" s="3" t="inlineStr">
        <is>
          <t>Proyectos en proceso</t>
        </is>
      </c>
    </row>
    <row r="24">
      <c r="A24" s="3" t="inlineStr">
        <is>
          <t>Proyectos</t>
        </is>
      </c>
      <c r="B24" s="3" t="inlineStr">
        <is>
          <t>Pendientes</t>
        </is>
      </c>
      <c r="C24" s="3" t="n">
        <v>11</v>
      </c>
      <c r="D24" s="3" t="inlineStr">
        <is>
          <t>entero</t>
        </is>
      </c>
      <c r="E24" s="3" t="inlineStr">
        <is>
          <t>Proyectos pendientes</t>
        </is>
      </c>
    </row>
    <row r="25">
      <c r="A25" s="3" t="inlineStr">
        <is>
          <t>Listo</t>
        </is>
      </c>
      <c r="B25" s="3" t="inlineStr">
        <is>
          <t>Registros</t>
        </is>
      </c>
      <c r="C25" s="3" t="n">
        <v>18</v>
      </c>
      <c r="D25" s="3" t="inlineStr">
        <is>
          <t>entero</t>
        </is>
      </c>
      <c r="E25" s="3" t="inlineStr">
        <is>
          <t>Registros</t>
        </is>
      </c>
    </row>
    <row r="26">
      <c r="A26" s="3" t="inlineStr">
        <is>
          <t>Listo</t>
        </is>
      </c>
      <c r="B26" s="3" t="inlineStr">
        <is>
          <t>Operativos</t>
        </is>
      </c>
      <c r="C26" s="3" t="n">
        <v>11</v>
      </c>
      <c r="D26" s="3" t="inlineStr">
        <is>
          <t>entero</t>
        </is>
      </c>
      <c r="E26" s="3" t="inlineStr">
        <is>
          <t>Operativos</t>
        </is>
      </c>
    </row>
    <row r="27">
      <c r="A27" s="3" t="inlineStr">
        <is>
          <t>Listo</t>
        </is>
      </c>
      <c r="B27" s="3" t="inlineStr">
        <is>
          <t>Por implementar</t>
        </is>
      </c>
      <c r="C27" s="3" t="n">
        <v>7</v>
      </c>
      <c r="D27" s="3" t="inlineStr">
        <is>
          <t>entero</t>
        </is>
      </c>
      <c r="E27" s="3" t="inlineStr">
        <is>
          <t>Por implementar</t>
        </is>
      </c>
    </row>
  </sheetData>
  <pageMargins left="0.75" right="0.75" top="1" bottom="1"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M29"/>
  <sheetViews>
    <sheetView showGridLines="0" workbookViewId="0">
      <pane ySplit="1" topLeftCell="A2" activePane="bottomLeft" state="frozen"/>
      <selection pane="bottomLeft" activeCell="A1" sqref="A1"/>
    </sheetView>
  </sheetViews>
  <sheetFormatPr baseColWidth="8" defaultRowHeight="15"/>
  <cols>
    <col width="16" customWidth="1" min="1" max="1"/>
    <col width="28"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30" customHeight="1">
      <c r="A1" s="1" t="inlineStr">
        <is>
          <t>zona</t>
        </is>
      </c>
      <c r="B1" s="1" t="inlineStr">
        <is>
          <t>campus</t>
        </is>
      </c>
      <c r="C1" s="1" t="inlineStr">
        <is>
          <t>dot_m</t>
        </is>
      </c>
      <c r="D1" s="1" t="inlineStr">
        <is>
          <t>dot_t</t>
        </is>
      </c>
      <c r="E1" s="1" t="inlineStr">
        <is>
          <t>dot_n</t>
        </is>
      </c>
      <c r="F1" s="1" t="inlineStr">
        <is>
          <t>cob_m</t>
        </is>
      </c>
      <c r="G1" s="1" t="inlineStr">
        <is>
          <t>cob_t</t>
        </is>
      </c>
      <c r="H1" s="1" t="inlineStr">
        <is>
          <t>cob_n</t>
        </is>
      </c>
      <c r="I1" s="1" t="inlineStr">
        <is>
          <t>pend_m</t>
        </is>
      </c>
      <c r="J1" s="1" t="inlineStr">
        <is>
          <t>pend_t</t>
        </is>
      </c>
      <c r="K1" s="1" t="inlineStr">
        <is>
          <t>pend_n</t>
        </is>
      </c>
      <c r="L1" s="1" t="inlineStr">
        <is>
          <t>pend_total</t>
        </is>
      </c>
      <c r="M1" s="1" t="inlineStr">
        <is>
          <t>cobertura_pct</t>
        </is>
      </c>
    </row>
    <row r="2">
      <c r="A2" s="3" t="inlineStr">
        <is>
          <t>LIMA</t>
        </is>
      </c>
      <c r="B2" s="3" t="inlineStr">
        <is>
          <t>SJL I</t>
        </is>
      </c>
      <c r="C2" s="3" t="n">
        <v>9</v>
      </c>
      <c r="D2" s="3" t="n">
        <v>8</v>
      </c>
      <c r="E2" s="3" t="n">
        <v>0</v>
      </c>
      <c r="F2" s="3" t="n">
        <v>9</v>
      </c>
      <c r="G2" s="3" t="n">
        <v>8</v>
      </c>
      <c r="H2" s="3" t="n">
        <v>0</v>
      </c>
      <c r="I2" s="3" t="n">
        <v>0</v>
      </c>
      <c r="J2" s="3" t="n">
        <v>0</v>
      </c>
      <c r="K2" s="3" t="n">
        <v>0</v>
      </c>
      <c r="L2" s="3" t="n">
        <v>0</v>
      </c>
      <c r="M2" s="3" t="n">
        <v>100</v>
      </c>
    </row>
    <row r="3">
      <c r="A3" s="3" t="inlineStr">
        <is>
          <t>LIMA</t>
        </is>
      </c>
      <c r="B3" s="3" t="inlineStr">
        <is>
          <t>ALMACEN CENTRAL</t>
        </is>
      </c>
      <c r="C3" s="3" t="n">
        <v>1</v>
      </c>
      <c r="D3" s="3" t="n">
        <v>0</v>
      </c>
      <c r="E3" s="3" t="n">
        <v>0</v>
      </c>
      <c r="F3" s="3" t="n">
        <v>1</v>
      </c>
      <c r="G3" s="3" t="n">
        <v>0</v>
      </c>
      <c r="H3" s="3" t="n">
        <v>0</v>
      </c>
      <c r="I3" s="3" t="n">
        <v>0</v>
      </c>
      <c r="J3" s="3" t="n">
        <v>0</v>
      </c>
      <c r="K3" s="3" t="n">
        <v>0</v>
      </c>
      <c r="L3" s="3" t="n">
        <v>0</v>
      </c>
      <c r="M3" s="3" t="n">
        <v>100</v>
      </c>
    </row>
    <row r="4">
      <c r="A4" s="3" t="inlineStr">
        <is>
          <t>LIMA</t>
        </is>
      </c>
      <c r="B4" s="3" t="inlineStr">
        <is>
          <t>JARRITA</t>
        </is>
      </c>
      <c r="C4" s="3" t="n">
        <v>3</v>
      </c>
      <c r="D4" s="3" t="n">
        <v>2</v>
      </c>
      <c r="E4" s="3" t="n">
        <v>0</v>
      </c>
      <c r="F4" s="3" t="n">
        <v>3</v>
      </c>
      <c r="G4" s="3" t="n">
        <v>2</v>
      </c>
      <c r="H4" s="3" t="n">
        <v>0</v>
      </c>
      <c r="I4" s="3" t="n">
        <v>0</v>
      </c>
      <c r="J4" s="3" t="n">
        <v>0</v>
      </c>
      <c r="K4" s="3" t="n">
        <v>0</v>
      </c>
      <c r="L4" s="3" t="n">
        <v>0</v>
      </c>
      <c r="M4" s="3" t="n">
        <v>100</v>
      </c>
    </row>
    <row r="5">
      <c r="A5" s="3" t="inlineStr">
        <is>
          <t>LIMA</t>
        </is>
      </c>
      <c r="B5" s="3" t="inlineStr">
        <is>
          <t>TORRE NUEVA</t>
        </is>
      </c>
      <c r="C5" s="3" t="n">
        <v>15</v>
      </c>
      <c r="D5" s="3" t="n">
        <v>15</v>
      </c>
      <c r="E5" s="3" t="n">
        <v>8</v>
      </c>
      <c r="F5" s="3" t="n">
        <v>15</v>
      </c>
      <c r="G5" s="3" t="n">
        <v>15</v>
      </c>
      <c r="H5" s="3" t="n">
        <v>8</v>
      </c>
      <c r="I5" s="3" t="n">
        <v>0</v>
      </c>
      <c r="J5" s="3" t="n">
        <v>0</v>
      </c>
      <c r="K5" s="3" t="n">
        <v>0</v>
      </c>
      <c r="L5" s="3" t="n">
        <v>0</v>
      </c>
      <c r="M5" s="3" t="n">
        <v>100</v>
      </c>
    </row>
    <row r="6">
      <c r="A6" s="3" t="inlineStr">
        <is>
          <t>LIMA</t>
        </is>
      </c>
      <c r="B6" s="3" t="inlineStr">
        <is>
          <t>LIMA NORTE</t>
        </is>
      </c>
      <c r="C6" s="3" t="n">
        <v>19</v>
      </c>
      <c r="D6" s="3" t="n">
        <v>19</v>
      </c>
      <c r="E6" s="3" t="n">
        <v>12</v>
      </c>
      <c r="F6" s="3" t="n">
        <v>19</v>
      </c>
      <c r="G6" s="3" t="n">
        <v>19</v>
      </c>
      <c r="H6" s="3" t="n">
        <v>12</v>
      </c>
      <c r="I6" s="3" t="n">
        <v>0</v>
      </c>
      <c r="J6" s="3" t="n">
        <v>0</v>
      </c>
      <c r="K6" s="3" t="n">
        <v>0</v>
      </c>
      <c r="L6" s="3" t="n">
        <v>0</v>
      </c>
      <c r="M6" s="3" t="n">
        <v>100</v>
      </c>
    </row>
    <row r="7">
      <c r="A7" s="3" t="inlineStr">
        <is>
          <t>PROVINCIA</t>
        </is>
      </c>
      <c r="B7" s="3" t="inlineStr">
        <is>
          <t>AREQUIPA POSTGRADO</t>
        </is>
      </c>
      <c r="C7" s="3" t="n">
        <v>1</v>
      </c>
      <c r="D7" s="3" t="n">
        <v>2</v>
      </c>
      <c r="E7" s="3" t="n">
        <v>0</v>
      </c>
      <c r="F7" s="3" t="n">
        <v>1</v>
      </c>
      <c r="G7" s="3" t="n">
        <v>2</v>
      </c>
      <c r="H7" s="3" t="n">
        <v>0</v>
      </c>
      <c r="I7" s="3" t="n">
        <v>0</v>
      </c>
      <c r="J7" s="3" t="n">
        <v>0</v>
      </c>
      <c r="K7" s="3" t="n">
        <v>0</v>
      </c>
      <c r="L7" s="3" t="n">
        <v>0</v>
      </c>
      <c r="M7" s="3" t="n">
        <v>100</v>
      </c>
    </row>
    <row r="8">
      <c r="A8" s="3" t="inlineStr">
        <is>
          <t>PROVINCIA</t>
        </is>
      </c>
      <c r="B8" s="3" t="inlineStr">
        <is>
          <t>CHIMBOTE</t>
        </is>
      </c>
      <c r="C8" s="3" t="n">
        <v>16</v>
      </c>
      <c r="D8" s="3" t="n">
        <v>10</v>
      </c>
      <c r="E8" s="3" t="n">
        <v>0</v>
      </c>
      <c r="F8" s="3" t="n">
        <v>16</v>
      </c>
      <c r="G8" s="3" t="n">
        <v>10</v>
      </c>
      <c r="H8" s="3" t="n">
        <v>0</v>
      </c>
      <c r="I8" s="3" t="n">
        <v>0</v>
      </c>
      <c r="J8" s="3" t="n">
        <v>0</v>
      </c>
      <c r="K8" s="3" t="n">
        <v>0</v>
      </c>
      <c r="L8" s="3" t="n">
        <v>0</v>
      </c>
      <c r="M8" s="3" t="n">
        <v>100</v>
      </c>
    </row>
    <row r="9">
      <c r="A9" s="3" t="inlineStr">
        <is>
          <t>PROVINCIA</t>
        </is>
      </c>
      <c r="B9" s="3" t="inlineStr">
        <is>
          <t>PIURA</t>
        </is>
      </c>
      <c r="C9" s="3" t="n">
        <v>15</v>
      </c>
      <c r="D9" s="3" t="n">
        <v>15</v>
      </c>
      <c r="E9" s="3" t="n">
        <v>8</v>
      </c>
      <c r="F9" s="3" t="n">
        <v>15</v>
      </c>
      <c r="G9" s="3" t="n">
        <v>15</v>
      </c>
      <c r="H9" s="3" t="n">
        <v>8</v>
      </c>
      <c r="I9" s="3" t="n">
        <v>0</v>
      </c>
      <c r="J9" s="3" t="n">
        <v>0</v>
      </c>
      <c r="K9" s="3" t="n">
        <v>0</v>
      </c>
      <c r="L9" s="3" t="n">
        <v>0</v>
      </c>
      <c r="M9" s="3" t="n">
        <v>100</v>
      </c>
    </row>
    <row r="10">
      <c r="A10" s="3" t="inlineStr">
        <is>
          <t>PROVINCIA</t>
        </is>
      </c>
      <c r="B10" s="3" t="inlineStr">
        <is>
          <t>TRUJILLO</t>
        </is>
      </c>
      <c r="C10" s="3" t="n">
        <v>8</v>
      </c>
      <c r="D10" s="3" t="n">
        <v>7</v>
      </c>
      <c r="E10" s="3" t="n">
        <v>0</v>
      </c>
      <c r="F10" s="3" t="n">
        <v>8</v>
      </c>
      <c r="G10" s="3" t="n">
        <v>7</v>
      </c>
      <c r="H10" s="3" t="n">
        <v>0</v>
      </c>
      <c r="I10" s="3" t="n">
        <v>0</v>
      </c>
      <c r="J10" s="3" t="n">
        <v>0</v>
      </c>
      <c r="K10" s="3" t="n">
        <v>0</v>
      </c>
      <c r="L10" s="3" t="n">
        <v>0</v>
      </c>
      <c r="M10" s="3" t="n">
        <v>100</v>
      </c>
    </row>
    <row r="11">
      <c r="A11" s="3" t="inlineStr">
        <is>
          <t>PROVINCIA</t>
        </is>
      </c>
      <c r="B11" s="3" t="inlineStr">
        <is>
          <t>HUANCAYO</t>
        </is>
      </c>
      <c r="C11" s="3" t="n">
        <v>13</v>
      </c>
      <c r="D11" s="3" t="n">
        <v>8</v>
      </c>
      <c r="E11" s="3" t="n">
        <v>0</v>
      </c>
      <c r="F11" s="3" t="n">
        <v>13</v>
      </c>
      <c r="G11" s="3" t="n">
        <v>8</v>
      </c>
      <c r="H11" s="3" t="n">
        <v>0</v>
      </c>
      <c r="I11" s="3" t="n">
        <v>0</v>
      </c>
      <c r="J11" s="3" t="n">
        <v>0</v>
      </c>
      <c r="K11" s="3" t="n">
        <v>0</v>
      </c>
      <c r="L11" s="3" t="n">
        <v>0</v>
      </c>
      <c r="M11" s="3" t="n">
        <v>100</v>
      </c>
    </row>
    <row r="12">
      <c r="A12" s="3" t="inlineStr">
        <is>
          <t>PROVINCIA</t>
        </is>
      </c>
      <c r="B12" s="3" t="inlineStr">
        <is>
          <t>HUANUCO</t>
        </is>
      </c>
      <c r="C12" s="3" t="n">
        <v>1</v>
      </c>
      <c r="D12" s="3" t="n">
        <v>0</v>
      </c>
      <c r="E12" s="3" t="n">
        <v>0</v>
      </c>
      <c r="F12" s="3" t="n">
        <v>1</v>
      </c>
      <c r="G12" s="3" t="n">
        <v>0</v>
      </c>
      <c r="H12" s="3" t="n">
        <v>0</v>
      </c>
      <c r="I12" s="3" t="n">
        <v>0</v>
      </c>
      <c r="J12" s="3" t="n">
        <v>0</v>
      </c>
      <c r="K12" s="3" t="n">
        <v>0</v>
      </c>
      <c r="L12" s="3" t="n">
        <v>0</v>
      </c>
      <c r="M12" s="3" t="n">
        <v>100</v>
      </c>
    </row>
    <row r="13">
      <c r="A13" s="3" t="inlineStr">
        <is>
          <t>PROVINCIA</t>
        </is>
      </c>
      <c r="B13" s="3" t="inlineStr">
        <is>
          <t>IQUITOS</t>
        </is>
      </c>
      <c r="C13" s="3" t="n">
        <v>9</v>
      </c>
      <c r="D13" s="3" t="n">
        <v>9</v>
      </c>
      <c r="E13" s="3" t="n">
        <v>0</v>
      </c>
      <c r="F13" s="3" t="n">
        <v>9</v>
      </c>
      <c r="G13" s="3" t="n">
        <v>9</v>
      </c>
      <c r="H13" s="3" t="n">
        <v>0</v>
      </c>
      <c r="I13" s="3" t="n">
        <v>0</v>
      </c>
      <c r="J13" s="3" t="n">
        <v>0</v>
      </c>
      <c r="K13" s="3" t="n">
        <v>0</v>
      </c>
      <c r="L13" s="3" t="n">
        <v>0</v>
      </c>
      <c r="M13" s="3" t="n">
        <v>100</v>
      </c>
    </row>
    <row r="14">
      <c r="A14" s="3" t="inlineStr">
        <is>
          <t>PROVINCIA</t>
        </is>
      </c>
      <c r="B14" s="3" t="inlineStr">
        <is>
          <t>PUCALLPA</t>
        </is>
      </c>
      <c r="C14" s="3" t="n">
        <v>10</v>
      </c>
      <c r="D14" s="3" t="n">
        <v>9</v>
      </c>
      <c r="E14" s="3" t="n">
        <v>0</v>
      </c>
      <c r="F14" s="3" t="n">
        <v>10</v>
      </c>
      <c r="G14" s="3" t="n">
        <v>9</v>
      </c>
      <c r="H14" s="3" t="n">
        <v>0</v>
      </c>
      <c r="I14" s="3" t="n">
        <v>0</v>
      </c>
      <c r="J14" s="3" t="n">
        <v>0</v>
      </c>
      <c r="K14" s="3" t="n">
        <v>0</v>
      </c>
      <c r="L14" s="3" t="n">
        <v>0</v>
      </c>
      <c r="M14" s="3" t="n">
        <v>100</v>
      </c>
    </row>
    <row r="15">
      <c r="A15" s="3" t="inlineStr">
        <is>
          <t>PROVINCIA</t>
        </is>
      </c>
      <c r="B15" s="3" t="inlineStr">
        <is>
          <t>ICA</t>
        </is>
      </c>
      <c r="C15" s="3" t="n">
        <v>17</v>
      </c>
      <c r="D15" s="3" t="n">
        <v>18</v>
      </c>
      <c r="E15" s="3" t="n">
        <v>0</v>
      </c>
      <c r="F15" s="3" t="n">
        <v>16</v>
      </c>
      <c r="G15" s="3" t="n">
        <v>18</v>
      </c>
      <c r="H15" s="3" t="n">
        <v>0</v>
      </c>
      <c r="I15" s="3" t="n">
        <v>1</v>
      </c>
      <c r="J15" s="3" t="n">
        <v>0</v>
      </c>
      <c r="K15" s="3" t="n">
        <v>0</v>
      </c>
      <c r="L15" s="3" t="n">
        <v>1</v>
      </c>
      <c r="M15" s="3" t="n">
        <v>97</v>
      </c>
    </row>
    <row r="16">
      <c r="A16" s="3" t="inlineStr">
        <is>
          <t>LIMA</t>
        </is>
      </c>
      <c r="B16" s="3" t="inlineStr">
        <is>
          <t>TORRE II</t>
        </is>
      </c>
      <c r="C16" s="3" t="n">
        <v>9</v>
      </c>
      <c r="D16" s="3" t="n">
        <v>10</v>
      </c>
      <c r="E16" s="3" t="n">
        <v>5</v>
      </c>
      <c r="F16" s="3" t="n">
        <v>9</v>
      </c>
      <c r="G16" s="3" t="n">
        <v>9</v>
      </c>
      <c r="H16" s="3" t="n">
        <v>5</v>
      </c>
      <c r="I16" s="3" t="n">
        <v>0</v>
      </c>
      <c r="J16" s="3" t="n">
        <v>1</v>
      </c>
      <c r="K16" s="3" t="n">
        <v>0</v>
      </c>
      <c r="L16" s="3" t="n">
        <v>1</v>
      </c>
      <c r="M16" s="3" t="n">
        <v>96</v>
      </c>
    </row>
    <row r="17">
      <c r="A17" s="3" t="inlineStr">
        <is>
          <t>PROVINCIA</t>
        </is>
      </c>
      <c r="B17" s="3" t="inlineStr">
        <is>
          <t>TACNA</t>
        </is>
      </c>
      <c r="C17" s="3" t="n">
        <v>10</v>
      </c>
      <c r="D17" s="3" t="n">
        <v>8</v>
      </c>
      <c r="E17" s="3" t="n">
        <v>0</v>
      </c>
      <c r="F17" s="3" t="n">
        <v>10</v>
      </c>
      <c r="G17" s="3" t="n">
        <v>7</v>
      </c>
      <c r="H17" s="3" t="n">
        <v>0</v>
      </c>
      <c r="I17" s="3" t="n">
        <v>0</v>
      </c>
      <c r="J17" s="3" t="n">
        <v>1</v>
      </c>
      <c r="K17" s="3" t="n">
        <v>0</v>
      </c>
      <c r="L17" s="3" t="n">
        <v>1</v>
      </c>
      <c r="M17" s="3" t="n">
        <v>94</v>
      </c>
    </row>
    <row r="18">
      <c r="A18" s="3" t="inlineStr">
        <is>
          <t>LIMA</t>
        </is>
      </c>
      <c r="B18" s="3" t="inlineStr">
        <is>
          <t>ATE</t>
        </is>
      </c>
      <c r="C18" s="3" t="n">
        <v>18</v>
      </c>
      <c r="D18" s="3" t="n">
        <v>18</v>
      </c>
      <c r="E18" s="3" t="n">
        <v>9</v>
      </c>
      <c r="F18" s="3" t="n">
        <v>16</v>
      </c>
      <c r="G18" s="3" t="n">
        <v>18</v>
      </c>
      <c r="H18" s="3" t="n">
        <v>8</v>
      </c>
      <c r="I18" s="3" t="n">
        <v>2</v>
      </c>
      <c r="J18" s="3" t="n">
        <v>0</v>
      </c>
      <c r="K18" s="3" t="n">
        <v>1</v>
      </c>
      <c r="L18" s="3" t="n">
        <v>3</v>
      </c>
      <c r="M18" s="3" t="n">
        <v>93</v>
      </c>
    </row>
    <row r="19">
      <c r="A19" s="3" t="inlineStr">
        <is>
          <t>PROVINCIA</t>
        </is>
      </c>
      <c r="B19" s="3" t="inlineStr">
        <is>
          <t>CHICLAYO</t>
        </is>
      </c>
      <c r="C19" s="3" t="n">
        <v>18</v>
      </c>
      <c r="D19" s="3" t="n">
        <v>17</v>
      </c>
      <c r="E19" s="3" t="n">
        <v>8</v>
      </c>
      <c r="F19" s="3" t="n">
        <v>18</v>
      </c>
      <c r="G19" s="3" t="n">
        <v>14</v>
      </c>
      <c r="H19" s="3" t="n">
        <v>8</v>
      </c>
      <c r="I19" s="3" t="n">
        <v>0</v>
      </c>
      <c r="J19" s="3" t="n">
        <v>3</v>
      </c>
      <c r="K19" s="3" t="n">
        <v>0</v>
      </c>
      <c r="L19" s="3" t="n">
        <v>3</v>
      </c>
      <c r="M19" s="3" t="n">
        <v>93</v>
      </c>
    </row>
    <row r="20">
      <c r="A20" s="3" t="inlineStr">
        <is>
          <t>LIMA</t>
        </is>
      </c>
      <c r="B20" s="3" t="inlineStr">
        <is>
          <t>PACIFICO</t>
        </is>
      </c>
      <c r="C20" s="3" t="n">
        <v>7</v>
      </c>
      <c r="D20" s="3" t="n">
        <v>6</v>
      </c>
      <c r="E20" s="3" t="n">
        <v>0</v>
      </c>
      <c r="F20" s="3" t="n">
        <v>7</v>
      </c>
      <c r="G20" s="3" t="n">
        <v>5</v>
      </c>
      <c r="H20" s="3" t="n">
        <v>0</v>
      </c>
      <c r="I20" s="3" t="n">
        <v>0</v>
      </c>
      <c r="J20" s="3" t="n">
        <v>1</v>
      </c>
      <c r="K20" s="3" t="n">
        <v>0</v>
      </c>
      <c r="L20" s="3" t="n">
        <v>1</v>
      </c>
      <c r="M20" s="3" t="n">
        <v>92</v>
      </c>
    </row>
    <row r="21">
      <c r="A21" s="3" t="inlineStr">
        <is>
          <t>LIMA</t>
        </is>
      </c>
      <c r="B21" s="3" t="inlineStr">
        <is>
          <t>LIMA SUR</t>
        </is>
      </c>
      <c r="C21" s="3" t="n">
        <v>23</v>
      </c>
      <c r="D21" s="3" t="n">
        <v>23</v>
      </c>
      <c r="E21" s="3" t="n">
        <v>12</v>
      </c>
      <c r="F21" s="3" t="n">
        <v>23</v>
      </c>
      <c r="G21" s="3" t="n">
        <v>18</v>
      </c>
      <c r="H21" s="3" t="n">
        <v>12</v>
      </c>
      <c r="I21" s="3" t="n">
        <v>0</v>
      </c>
      <c r="J21" s="3" t="n">
        <v>5</v>
      </c>
      <c r="K21" s="3" t="n">
        <v>0</v>
      </c>
      <c r="L21" s="3" t="n">
        <v>5</v>
      </c>
      <c r="M21" s="3" t="n">
        <v>91</v>
      </c>
    </row>
    <row r="22">
      <c r="A22" s="3" t="inlineStr">
        <is>
          <t>LIMA</t>
        </is>
      </c>
      <c r="B22" s="3" t="inlineStr">
        <is>
          <t>SEDE CENTRAL</t>
        </is>
      </c>
      <c r="C22" s="3" t="n">
        <v>9</v>
      </c>
      <c r="D22" s="3" t="n">
        <v>8</v>
      </c>
      <c r="E22" s="3" t="n">
        <v>5</v>
      </c>
      <c r="F22" s="3" t="n">
        <v>8</v>
      </c>
      <c r="G22" s="3" t="n">
        <v>7</v>
      </c>
      <c r="H22" s="3" t="n">
        <v>5</v>
      </c>
      <c r="I22" s="3" t="n">
        <v>1</v>
      </c>
      <c r="J22" s="3" t="n">
        <v>1</v>
      </c>
      <c r="K22" s="3" t="n">
        <v>0</v>
      </c>
      <c r="L22" s="3" t="n">
        <v>2</v>
      </c>
      <c r="M22" s="3" t="n">
        <v>91</v>
      </c>
    </row>
    <row r="23">
      <c r="A23" s="3" t="inlineStr">
        <is>
          <t>LIMA</t>
        </is>
      </c>
      <c r="B23" s="3" t="inlineStr">
        <is>
          <t>OFICINAS ADMINISTRATIVA</t>
        </is>
      </c>
      <c r="C23" s="3" t="n">
        <v>8</v>
      </c>
      <c r="D23" s="3" t="n">
        <v>1</v>
      </c>
      <c r="E23" s="3" t="n">
        <v>0</v>
      </c>
      <c r="F23" s="3" t="n">
        <v>7</v>
      </c>
      <c r="G23" s="3" t="n">
        <v>1</v>
      </c>
      <c r="H23" s="3" t="n">
        <v>0</v>
      </c>
      <c r="I23" s="3" t="n">
        <v>1</v>
      </c>
      <c r="J23" s="3" t="n">
        <v>0</v>
      </c>
      <c r="K23" s="3" t="n">
        <v>0</v>
      </c>
      <c r="L23" s="3" t="n">
        <v>1</v>
      </c>
      <c r="M23" s="3" t="n">
        <v>89</v>
      </c>
    </row>
    <row r="24">
      <c r="A24" s="3" t="inlineStr">
        <is>
          <t>PROVINCIA</t>
        </is>
      </c>
      <c r="B24" s="3" t="inlineStr">
        <is>
          <t>AREQUIPA I</t>
        </is>
      </c>
      <c r="C24" s="3" t="n">
        <v>12</v>
      </c>
      <c r="D24" s="3" t="n">
        <v>9</v>
      </c>
      <c r="E24" s="3" t="n">
        <v>5</v>
      </c>
      <c r="F24" s="3" t="n">
        <v>10</v>
      </c>
      <c r="G24" s="3" t="n">
        <v>8</v>
      </c>
      <c r="H24" s="3" t="n">
        <v>5</v>
      </c>
      <c r="I24" s="3" t="n">
        <v>2</v>
      </c>
      <c r="J24" s="3" t="n">
        <v>1</v>
      </c>
      <c r="K24" s="3" t="n">
        <v>0</v>
      </c>
      <c r="L24" s="3" t="n">
        <v>3</v>
      </c>
      <c r="M24" s="3" t="n">
        <v>88</v>
      </c>
    </row>
    <row r="25">
      <c r="A25" s="3" t="inlineStr">
        <is>
          <t>LIMA</t>
        </is>
      </c>
      <c r="B25" s="3" t="inlineStr">
        <is>
          <t>SJL II</t>
        </is>
      </c>
      <c r="C25" s="3" t="n">
        <v>9</v>
      </c>
      <c r="D25" s="3" t="n">
        <v>8</v>
      </c>
      <c r="E25" s="3" t="n">
        <v>0</v>
      </c>
      <c r="F25" s="3" t="n">
        <v>8</v>
      </c>
      <c r="G25" s="3" t="n">
        <v>7</v>
      </c>
      <c r="H25" s="3" t="n">
        <v>0</v>
      </c>
      <c r="I25" s="3" t="n">
        <v>1</v>
      </c>
      <c r="J25" s="3" t="n">
        <v>1</v>
      </c>
      <c r="K25" s="3" t="n">
        <v>0</v>
      </c>
      <c r="L25" s="3" t="n">
        <v>2</v>
      </c>
      <c r="M25" s="3" t="n">
        <v>88</v>
      </c>
    </row>
    <row r="26">
      <c r="A26" s="3" t="inlineStr">
        <is>
          <t>PROVINCIA</t>
        </is>
      </c>
      <c r="B26" s="3" t="inlineStr">
        <is>
          <t>AREQUIPA III</t>
        </is>
      </c>
      <c r="C26" s="3" t="n">
        <v>8</v>
      </c>
      <c r="D26" s="3" t="n">
        <v>7</v>
      </c>
      <c r="E26" s="3" t="n">
        <v>0</v>
      </c>
      <c r="F26" s="3" t="n">
        <v>7</v>
      </c>
      <c r="G26" s="3" t="n">
        <v>6</v>
      </c>
      <c r="H26" s="3" t="n">
        <v>0</v>
      </c>
      <c r="I26" s="3" t="n">
        <v>1</v>
      </c>
      <c r="J26" s="3" t="n">
        <v>1</v>
      </c>
      <c r="K26" s="3" t="n">
        <v>0</v>
      </c>
      <c r="L26" s="3" t="n">
        <v>2</v>
      </c>
      <c r="M26" s="3" t="n">
        <v>87</v>
      </c>
    </row>
    <row r="27">
      <c r="A27" s="3" t="inlineStr">
        <is>
          <t>PROVINCIA</t>
        </is>
      </c>
      <c r="B27" s="3" t="inlineStr">
        <is>
          <t>AREQUIPA II</t>
        </is>
      </c>
      <c r="C27" s="3" t="n">
        <v>11</v>
      </c>
      <c r="D27" s="3" t="n">
        <v>9</v>
      </c>
      <c r="E27" s="3" t="n">
        <v>5</v>
      </c>
      <c r="F27" s="3" t="n">
        <v>7</v>
      </c>
      <c r="G27" s="3" t="n">
        <v>9</v>
      </c>
      <c r="H27" s="3" t="n">
        <v>5</v>
      </c>
      <c r="I27" s="3" t="n">
        <v>4</v>
      </c>
      <c r="J27" s="3" t="n">
        <v>0</v>
      </c>
      <c r="K27" s="3" t="n">
        <v>0</v>
      </c>
      <c r="L27" s="3" t="n">
        <v>4</v>
      </c>
      <c r="M27" s="3" t="n">
        <v>84</v>
      </c>
    </row>
    <row r="28">
      <c r="A28" s="3" t="inlineStr">
        <is>
          <t>LIMA</t>
        </is>
      </c>
      <c r="B28" s="3" t="inlineStr">
        <is>
          <t>EPG SALAVERRY</t>
        </is>
      </c>
      <c r="C28" s="3" t="n">
        <v>2</v>
      </c>
      <c r="D28" s="3" t="n">
        <v>3</v>
      </c>
      <c r="E28" s="3" t="n">
        <v>1</v>
      </c>
      <c r="F28" s="3" t="n">
        <v>2</v>
      </c>
      <c r="G28" s="3" t="n">
        <v>2</v>
      </c>
      <c r="H28" s="3" t="n">
        <v>1</v>
      </c>
      <c r="I28" s="3" t="n">
        <v>0</v>
      </c>
      <c r="J28" s="3" t="n">
        <v>1</v>
      </c>
      <c r="K28" s="3" t="n">
        <v>0</v>
      </c>
      <c r="L28" s="3" t="n">
        <v>1</v>
      </c>
      <c r="M28" s="3" t="n">
        <v>83</v>
      </c>
    </row>
    <row r="29">
      <c r="A29" s="3" t="inlineStr">
        <is>
          <t>LIMA</t>
        </is>
      </c>
      <c r="B29" s="3" t="inlineStr">
        <is>
          <t>JOSE DIAZ</t>
        </is>
      </c>
      <c r="C29" s="3" t="n">
        <v>4</v>
      </c>
      <c r="D29" s="3" t="n">
        <v>4</v>
      </c>
      <c r="E29" s="3" t="n">
        <v>0</v>
      </c>
      <c r="F29" s="3" t="n">
        <v>3</v>
      </c>
      <c r="G29" s="3" t="n">
        <v>3</v>
      </c>
      <c r="H29" s="3" t="n">
        <v>0</v>
      </c>
      <c r="I29" s="3" t="n">
        <v>1</v>
      </c>
      <c r="J29" s="3" t="n">
        <v>1</v>
      </c>
      <c r="K29" s="3" t="n">
        <v>0</v>
      </c>
      <c r="L29" s="3" t="n">
        <v>2</v>
      </c>
      <c r="M29" s="3" t="n">
        <v>75</v>
      </c>
    </row>
  </sheetData>
  <pageMargins left="0.75" right="0.75" top="1" bottom="1"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6" customWidth="1" min="2" max="2"/>
    <col width="18" customWidth="1" min="3" max="3"/>
  </cols>
  <sheetData>
    <row r="1" ht="30" customHeight="1">
      <c r="A1" s="1" t="inlineStr">
        <is>
          <t>concepto</t>
        </is>
      </c>
      <c r="B1" s="1" t="inlineStr">
        <is>
          <t>periodo</t>
        </is>
      </c>
      <c r="C1" s="1" t="inlineStr">
        <is>
          <t>monto</t>
        </is>
      </c>
    </row>
    <row r="2">
      <c r="A2" s="3" t="inlineStr">
        <is>
          <t>Descuentos faltas/tardanzas</t>
        </is>
      </c>
      <c r="B2" s="3" t="inlineStr">
        <is>
          <t>2026-05</t>
        </is>
      </c>
      <c r="C2" s="5" t="n">
        <v>45862</v>
      </c>
    </row>
    <row r="3">
      <c r="A3" s="3" t="inlineStr">
        <is>
          <t>Descuentos faltas/tardanzas</t>
        </is>
      </c>
      <c r="B3" s="3" t="inlineStr">
        <is>
          <t>2026-06</t>
        </is>
      </c>
      <c r="C3" s="5" t="n">
        <v>37330</v>
      </c>
    </row>
    <row r="4">
      <c r="A4" s="3" t="inlineStr">
        <is>
          <t>Descuentos faltas/tardanzas</t>
        </is>
      </c>
      <c r="B4" s="3" t="inlineStr">
        <is>
          <t>2026-07</t>
        </is>
      </c>
      <c r="C4" s="5" t="n">
        <v>33645</v>
      </c>
    </row>
    <row r="5">
      <c r="A5" s="3" t="inlineStr">
        <is>
          <t>Descuentos faltas/tardanzas</t>
        </is>
      </c>
      <c r="B5" s="3" t="inlineStr">
        <is>
          <t>2026-08</t>
        </is>
      </c>
      <c r="C5" s="5" t="n">
        <v>33266</v>
      </c>
    </row>
    <row r="6">
      <c r="A6" s="3" t="inlineStr">
        <is>
          <t>Descuentos faltas/tardanzas</t>
        </is>
      </c>
      <c r="B6" s="3" t="inlineStr">
        <is>
          <t>2026-09</t>
        </is>
      </c>
      <c r="C6" s="5" t="n">
        <v>57771</v>
      </c>
    </row>
    <row r="7">
      <c r="A7" s="3" t="inlineStr">
        <is>
          <t>Penalidades</t>
        </is>
      </c>
      <c r="B7" s="3" t="inlineStr">
        <is>
          <t>2026-05</t>
        </is>
      </c>
      <c r="C7" s="5" t="n">
        <v>2507</v>
      </c>
    </row>
    <row r="8">
      <c r="A8" s="3" t="inlineStr">
        <is>
          <t>Penalidades</t>
        </is>
      </c>
      <c r="B8" s="3" t="inlineStr">
        <is>
          <t>2026-06</t>
        </is>
      </c>
      <c r="C8" s="5" t="n">
        <v>3902</v>
      </c>
    </row>
    <row r="9">
      <c r="A9" s="3" t="inlineStr">
        <is>
          <t>Penalidades</t>
        </is>
      </c>
      <c r="B9" s="3" t="inlineStr">
        <is>
          <t>2026-07</t>
        </is>
      </c>
      <c r="C9" s="5" t="n">
        <v>493</v>
      </c>
    </row>
    <row r="10">
      <c r="A10" s="3" t="inlineStr">
        <is>
          <t>Penalidades</t>
        </is>
      </c>
      <c r="B10" s="3" t="inlineStr">
        <is>
          <t>2026-08</t>
        </is>
      </c>
      <c r="C10" s="5" t="n">
        <v>583</v>
      </c>
    </row>
    <row r="11">
      <c r="A11" s="3" t="inlineStr">
        <is>
          <t>Penalidades</t>
        </is>
      </c>
      <c r="B11" s="3" t="inlineStr">
        <is>
          <t>2026-09</t>
        </is>
      </c>
      <c r="C11" s="5" t="n">
        <v>7080</v>
      </c>
    </row>
  </sheetData>
  <pageMargins left="0.75" right="0.75" top="1" bottom="1"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F23"/>
  <sheetViews>
    <sheetView showGridLines="0" workbookViewId="0">
      <pane ySplit="1" topLeftCell="A2" activePane="bottomLeft" state="frozen"/>
      <selection pane="bottomLeft" activeCell="A1" sqref="A1"/>
    </sheetView>
  </sheetViews>
  <sheetFormatPr baseColWidth="8" defaultRowHeight="15"/>
  <cols>
    <col width="34" customWidth="1" min="1" max="1"/>
    <col width="22" customWidth="1" min="2" max="2"/>
    <col width="22" customWidth="1" min="3" max="3"/>
    <col width="20" customWidth="1" min="4" max="4"/>
    <col width="14" customWidth="1" min="5" max="5"/>
    <col width="14" customWidth="1" min="6" max="6"/>
  </cols>
  <sheetData>
    <row r="1" ht="30" customHeight="1">
      <c r="A1" s="1" t="inlineStr">
        <is>
          <t>campus</t>
        </is>
      </c>
      <c r="B1" s="1" t="inlineStr">
        <is>
          <t>tiempo_acepta_min</t>
        </is>
      </c>
      <c r="C1" s="1" t="inlineStr">
        <is>
          <t>tiempo_atiende_min</t>
        </is>
      </c>
      <c r="D1" s="1" t="inlineStr">
        <is>
          <t>tiempo_total_min</t>
        </is>
      </c>
      <c r="E1" s="1" t="inlineStr">
        <is>
          <t>valoracion</t>
        </is>
      </c>
      <c r="F1" s="1" t="inlineStr">
        <is>
          <t>es_subsede</t>
        </is>
      </c>
    </row>
    <row r="2">
      <c r="A2" s="3" t="inlineStr">
        <is>
          <t>CAMPUS CHIMBOTE</t>
        </is>
      </c>
      <c r="B2" s="3" t="n">
        <v>1.86</v>
      </c>
      <c r="C2" s="3" t="n">
        <v>2.95</v>
      </c>
      <c r="D2" s="3" t="n">
        <v>4.9</v>
      </c>
      <c r="E2" s="3" t="n">
        <v>4.7</v>
      </c>
      <c r="F2" s="3" t="n">
        <v>0</v>
      </c>
    </row>
    <row r="3">
      <c r="A3" s="3" t="inlineStr">
        <is>
          <t>CAMPUS TRUJILLO</t>
        </is>
      </c>
      <c r="B3" s="3" t="n">
        <v>1.98</v>
      </c>
      <c r="C3" s="3" t="n">
        <v>3.4</v>
      </c>
      <c r="D3" s="3" t="n">
        <v>5.4</v>
      </c>
      <c r="E3" s="3" t="n">
        <v>5</v>
      </c>
      <c r="F3" s="3" t="n">
        <v>0</v>
      </c>
    </row>
    <row r="4">
      <c r="A4" s="3" t="inlineStr">
        <is>
          <t>CAMPUS PIURA</t>
        </is>
      </c>
      <c r="B4" s="3" t="n">
        <v>2.54</v>
      </c>
      <c r="C4" s="3" t="n">
        <v>4.1</v>
      </c>
      <c r="D4" s="3" t="n">
        <v>6.6</v>
      </c>
      <c r="E4" s="3" t="n">
        <v>4.8</v>
      </c>
      <c r="F4" s="3" t="n">
        <v>0</v>
      </c>
    </row>
    <row r="5">
      <c r="A5" s="3" t="inlineStr">
        <is>
          <t>CAMPUS AREQUIPA</t>
        </is>
      </c>
      <c r="B5" s="3" t="n">
        <v>2.17</v>
      </c>
      <c r="C5" s="3" t="n">
        <v>4.07</v>
      </c>
      <c r="D5" s="3" t="n">
        <v>6.9</v>
      </c>
      <c r="E5" s="3" t="n">
        <v>4.8</v>
      </c>
      <c r="F5" s="3" t="n">
        <v>0</v>
      </c>
    </row>
    <row r="6">
      <c r="A6" s="3" t="inlineStr">
        <is>
          <t>Tacna y Arica</t>
        </is>
      </c>
      <c r="B6" s="3" t="n">
        <v>1.94</v>
      </c>
      <c r="C6" s="3" t="n">
        <v>4.34</v>
      </c>
      <c r="D6" s="3" t="n">
        <v>6.3</v>
      </c>
      <c r="E6" s="3" t="n">
        <v>4.8</v>
      </c>
      <c r="F6" s="3" t="n">
        <v>1</v>
      </c>
    </row>
    <row r="7">
      <c r="A7" s="3" t="inlineStr">
        <is>
          <t>Parra</t>
        </is>
      </c>
      <c r="B7" s="3" t="n">
        <v>3.14</v>
      </c>
      <c r="C7" s="3" t="n">
        <v>3.64</v>
      </c>
      <c r="D7" s="3" t="n">
        <v>6.8</v>
      </c>
      <c r="E7" s="3" t="n">
        <v>4.8</v>
      </c>
      <c r="F7" s="3" t="n">
        <v>1</v>
      </c>
    </row>
    <row r="8">
      <c r="A8" s="3" t="inlineStr">
        <is>
          <t>Parra 2</t>
        </is>
      </c>
      <c r="B8" s="3" t="n">
        <v>3.22</v>
      </c>
      <c r="C8" s="3" t="n">
        <v>4.53</v>
      </c>
      <c r="D8" s="3" t="n">
        <v>7.7</v>
      </c>
      <c r="E8" s="3" t="n">
        <v>4.6</v>
      </c>
      <c r="F8" s="3" t="n">
        <v>1</v>
      </c>
    </row>
    <row r="9">
      <c r="A9" s="3" t="inlineStr">
        <is>
          <t>CAMPUS IQUITOS</t>
        </is>
      </c>
      <c r="B9" s="3" t="n">
        <v>2.59</v>
      </c>
      <c r="C9" s="3" t="n">
        <v>4.38</v>
      </c>
      <c r="D9" s="3" t="n">
        <v>7</v>
      </c>
      <c r="E9" s="3" t="n">
        <v>4.8</v>
      </c>
      <c r="F9" s="3" t="n">
        <v>0</v>
      </c>
    </row>
    <row r="10">
      <c r="A10" s="3" t="inlineStr">
        <is>
          <t>CAMPUS HUANCAYO</t>
        </is>
      </c>
      <c r="B10" s="3" t="n">
        <v>2.8</v>
      </c>
      <c r="C10" s="3" t="n">
        <v>4.34</v>
      </c>
      <c r="D10" s="3" t="n">
        <v>7.1</v>
      </c>
      <c r="F10" s="3" t="n">
        <v>0</v>
      </c>
    </row>
    <row r="11">
      <c r="A11" s="3" t="inlineStr">
        <is>
          <t>CAMPUS ATE UTP</t>
        </is>
      </c>
      <c r="B11" s="3" t="n">
        <v>1.7</v>
      </c>
      <c r="C11" s="3" t="n">
        <v>5.81</v>
      </c>
      <c r="D11" s="3" t="n">
        <v>7.4</v>
      </c>
      <c r="E11" s="3" t="n">
        <v>4.8</v>
      </c>
      <c r="F11" s="3" t="n">
        <v>0</v>
      </c>
    </row>
    <row r="12">
      <c r="A12" s="3" t="inlineStr">
        <is>
          <t>CAMPUS CHICLAYO</t>
        </is>
      </c>
      <c r="B12" s="3" t="n">
        <v>4.16</v>
      </c>
      <c r="C12" s="3" t="n">
        <v>3.54</v>
      </c>
      <c r="D12" s="3" t="n">
        <v>7.7</v>
      </c>
      <c r="E12" s="3" t="n">
        <v>4.6</v>
      </c>
      <c r="F12" s="3" t="n">
        <v>0</v>
      </c>
    </row>
    <row r="13">
      <c r="A13" s="3" t="inlineStr">
        <is>
          <t>CAMPUS SAN JUAN DE LURIGANCHO</t>
        </is>
      </c>
      <c r="B13" s="3" t="n">
        <v>4.15</v>
      </c>
      <c r="C13" s="3" t="n">
        <v>3.48</v>
      </c>
      <c r="D13" s="3" t="n">
        <v>7.7</v>
      </c>
      <c r="E13" s="3" t="n">
        <v>4.4</v>
      </c>
      <c r="F13" s="3" t="n">
        <v>0</v>
      </c>
    </row>
    <row r="14">
      <c r="A14" s="3" t="inlineStr">
        <is>
          <t>CAMPUS ICA</t>
        </is>
      </c>
      <c r="B14" s="3" t="n">
        <v>5.53</v>
      </c>
      <c r="C14" s="3" t="n">
        <v>2.79</v>
      </c>
      <c r="D14" s="3" t="n">
        <v>8.199999999999999</v>
      </c>
      <c r="E14" s="3" t="n">
        <v>3.2</v>
      </c>
      <c r="F14" s="3" t="n">
        <v>0</v>
      </c>
    </row>
    <row r="15">
      <c r="A15" s="3" t="inlineStr">
        <is>
          <t>CAMPUS LIMA</t>
        </is>
      </c>
      <c r="B15" s="3" t="n">
        <v>4.13</v>
      </c>
      <c r="C15" s="3" t="n">
        <v>4.17</v>
      </c>
      <c r="D15" s="3" t="n">
        <v>8.300000000000001</v>
      </c>
      <c r="E15" s="3" t="n">
        <v>3.8</v>
      </c>
      <c r="F15" s="3" t="n">
        <v>0</v>
      </c>
    </row>
    <row r="16">
      <c r="A16" s="3" t="inlineStr">
        <is>
          <t>Torre Petit Thouars</t>
        </is>
      </c>
      <c r="B16" s="3" t="n">
        <v>1.94</v>
      </c>
      <c r="C16" s="3" t="n">
        <v>2.63</v>
      </c>
      <c r="D16" s="3" t="n">
        <v>4.6</v>
      </c>
      <c r="E16" s="3" t="n">
        <v>3.4</v>
      </c>
      <c r="F16" s="3" t="n">
        <v>1</v>
      </c>
    </row>
    <row r="17">
      <c r="A17" s="3" t="inlineStr">
        <is>
          <t>Edificio Pacífico</t>
        </is>
      </c>
      <c r="B17" s="3" t="n">
        <v>2.27</v>
      </c>
      <c r="C17" s="3" t="n">
        <v>3.76</v>
      </c>
      <c r="D17" s="3" t="n">
        <v>6</v>
      </c>
      <c r="E17" s="3" t="n">
        <v>4.4</v>
      </c>
      <c r="F17" s="3" t="n">
        <v>1</v>
      </c>
    </row>
    <row r="18">
      <c r="A18" s="3" t="inlineStr">
        <is>
          <t>Torre Arequipa</t>
        </is>
      </c>
      <c r="B18" s="3" t="n">
        <v>4.31</v>
      </c>
      <c r="C18" s="3" t="n">
        <v>4.06</v>
      </c>
      <c r="D18" s="3" t="n">
        <v>8.4</v>
      </c>
      <c r="F18" s="3" t="n">
        <v>1</v>
      </c>
    </row>
    <row r="19">
      <c r="A19" s="3" t="inlineStr">
        <is>
          <t>Sede Central</t>
        </is>
      </c>
      <c r="B19" s="3" t="n">
        <v>7.85</v>
      </c>
      <c r="C19" s="3" t="n">
        <v>6.7</v>
      </c>
      <c r="D19" s="3" t="n">
        <v>14.5</v>
      </c>
      <c r="E19" s="3" t="n">
        <v>3.4</v>
      </c>
      <c r="F19" s="3" t="n">
        <v>1</v>
      </c>
    </row>
    <row r="20">
      <c r="A20" s="3" t="inlineStr">
        <is>
          <t>CAMPUS PUCALLPA</t>
        </is>
      </c>
      <c r="B20" s="3" t="n">
        <v>7.01</v>
      </c>
      <c r="C20" s="3" t="n">
        <v>2.19</v>
      </c>
      <c r="D20" s="3" t="n">
        <v>9.300000000000001</v>
      </c>
      <c r="E20" s="3" t="n">
        <v>4.8</v>
      </c>
      <c r="F20" s="3" t="n">
        <v>0</v>
      </c>
    </row>
    <row r="21">
      <c r="A21" s="3" t="inlineStr">
        <is>
          <t>CAMPUS TACNA</t>
        </is>
      </c>
      <c r="B21" s="3" t="n">
        <v>3.67</v>
      </c>
      <c r="C21" s="3" t="n">
        <v>6.13</v>
      </c>
      <c r="D21" s="3" t="n">
        <v>9.800000000000001</v>
      </c>
      <c r="E21" s="3" t="n">
        <v>5</v>
      </c>
      <c r="F21" s="3" t="n">
        <v>0</v>
      </c>
    </row>
    <row r="22">
      <c r="A22" s="3" t="inlineStr">
        <is>
          <t>CAMPUS LIMA NORTE UTP</t>
        </is>
      </c>
      <c r="B22" s="3" t="n">
        <v>9.029999999999999</v>
      </c>
      <c r="C22" s="3" t="n">
        <v>7.46</v>
      </c>
      <c r="D22" s="3" t="n">
        <v>16.6</v>
      </c>
      <c r="E22" s="3" t="n">
        <v>4.2</v>
      </c>
      <c r="F22" s="3" t="n">
        <v>0</v>
      </c>
    </row>
    <row r="23">
      <c r="A23" s="3" t="inlineStr">
        <is>
          <t>CAMPUS LIMA SUR UTP</t>
        </is>
      </c>
      <c r="B23" s="3" t="n">
        <v>10.28</v>
      </c>
      <c r="C23" s="3" t="n">
        <v>7.28</v>
      </c>
      <c r="D23" s="3" t="n">
        <v>17.5</v>
      </c>
      <c r="E23" s="3" t="n">
        <v>4.4</v>
      </c>
      <c r="F23" s="3" t="n">
        <v>0</v>
      </c>
    </row>
  </sheetData>
  <pageMargins left="0.75" right="0.75" top="1" bottom="1"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B6"/>
  <sheetViews>
    <sheetView showGridLines="0" workbookViewId="0">
      <pane ySplit="1" topLeftCell="A2" activePane="bottomLeft" state="frozen"/>
      <selection pane="bottomLeft" activeCell="A1" sqref="A1"/>
    </sheetView>
  </sheetViews>
  <sheetFormatPr baseColWidth="8" defaultRowHeight="15"/>
  <cols>
    <col width="36" customWidth="1" min="1" max="1"/>
    <col width="18" customWidth="1" min="2" max="2"/>
  </cols>
  <sheetData>
    <row r="1" ht="30" customHeight="1">
      <c r="A1" s="1" t="inlineStr">
        <is>
          <t>tipo_incidencia</t>
        </is>
      </c>
      <c r="B1" s="1" t="inlineStr">
        <is>
          <t>participacion</t>
        </is>
      </c>
    </row>
    <row r="2">
      <c r="A2" s="3" t="inlineStr">
        <is>
          <t>Problema con la PC</t>
        </is>
      </c>
      <c r="B2" s="3" t="n">
        <v>0.29</v>
      </c>
    </row>
    <row r="3">
      <c r="A3" s="3" t="inlineStr">
        <is>
          <t>Problema con el proyector</t>
        </is>
      </c>
      <c r="B3" s="3" t="n">
        <v>0.28</v>
      </c>
    </row>
    <row r="4">
      <c r="A4" s="3" t="inlineStr">
        <is>
          <t>Problema con el audio</t>
        </is>
      </c>
      <c r="B4" s="3" t="n">
        <v>0.13</v>
      </c>
    </row>
    <row r="5">
      <c r="A5" s="3" t="inlineStr">
        <is>
          <t>Problema con el Zoom</t>
        </is>
      </c>
      <c r="B5" s="3" t="n">
        <v>0.13</v>
      </c>
    </row>
    <row r="6">
      <c r="A6" s="3" t="inlineStr">
        <is>
          <t>Ambiente cerrado</t>
        </is>
      </c>
      <c r="B6" s="3" t="n">
        <v>0.17</v>
      </c>
    </row>
  </sheetData>
  <pageMargins left="0.75" right="0.75" top="1" bottom="1"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G23"/>
  <sheetViews>
    <sheetView showGridLines="0"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6" customWidth="1" min="4" max="4"/>
    <col width="16" customWidth="1" min="5" max="5"/>
    <col width="18" customWidth="1" min="6" max="6"/>
    <col width="14" customWidth="1" min="7" max="7"/>
  </cols>
  <sheetData>
    <row r="1" ht="30" customHeight="1">
      <c r="A1" s="1" t="inlineStr">
        <is>
          <t>sede</t>
        </is>
      </c>
      <c r="B1" s="1" t="inlineStr">
        <is>
          <t>dispositivos_asignados</t>
        </is>
      </c>
      <c r="C1" s="1" t="inlineStr">
        <is>
          <t>responsables</t>
        </is>
      </c>
      <c r="D1" s="1" t="inlineStr">
        <is>
          <t>programado</t>
        </is>
      </c>
      <c r="E1" s="1" t="inlineStr">
        <is>
          <t>ejecutado</t>
        </is>
      </c>
      <c r="F1" s="1" t="inlineStr">
        <is>
          <t>cumplimiento_pct</t>
        </is>
      </c>
      <c r="G1" s="1" t="inlineStr">
        <is>
          <t>es_subsede</t>
        </is>
      </c>
    </row>
    <row r="2">
      <c r="A2" s="3" t="inlineStr">
        <is>
          <t>05. UTP Lima Sur</t>
        </is>
      </c>
      <c r="B2" s="3" t="n">
        <v>20</v>
      </c>
      <c r="C2" s="3" t="n">
        <v>16</v>
      </c>
      <c r="D2" s="3" t="n">
        <v>2464</v>
      </c>
      <c r="E2" s="3" t="n">
        <v>2753</v>
      </c>
      <c r="F2" s="3" t="n">
        <v>95</v>
      </c>
      <c r="G2" s="3" t="n">
        <v>0</v>
      </c>
    </row>
    <row r="3">
      <c r="A3" s="3" t="inlineStr">
        <is>
          <t>04. UTP Ate</t>
        </is>
      </c>
      <c r="B3" s="3" t="n">
        <v>22</v>
      </c>
      <c r="C3" s="3" t="n">
        <v>12</v>
      </c>
      <c r="D3" s="3" t="n">
        <v>4638</v>
      </c>
      <c r="E3" s="3" t="n">
        <v>6058</v>
      </c>
      <c r="F3" s="3" t="n">
        <v>94</v>
      </c>
      <c r="G3" s="3" t="n">
        <v>0</v>
      </c>
    </row>
    <row r="4">
      <c r="A4" s="3" t="inlineStr">
        <is>
          <t>03. UTP SJL</t>
        </is>
      </c>
      <c r="B4" s="3" t="n">
        <v>24</v>
      </c>
      <c r="C4" s="3" t="n">
        <v>9</v>
      </c>
      <c r="D4" s="3" t="n">
        <v>5057</v>
      </c>
      <c r="E4" s="3" t="n">
        <v>6152</v>
      </c>
      <c r="F4" s="3" t="n">
        <v>92</v>
      </c>
      <c r="G4" s="3" t="n">
        <v>0</v>
      </c>
    </row>
    <row r="5">
      <c r="A5" s="3" t="inlineStr">
        <is>
          <t>11. UTP Huancayo</t>
        </is>
      </c>
      <c r="B5" s="3" t="n">
        <v>16</v>
      </c>
      <c r="C5" s="3" t="n">
        <v>7</v>
      </c>
      <c r="D5" s="3" t="n">
        <v>5026</v>
      </c>
      <c r="E5" s="3" t="n">
        <v>4575</v>
      </c>
      <c r="F5" s="3" t="n">
        <v>89</v>
      </c>
      <c r="G5" s="3" t="n">
        <v>0</v>
      </c>
    </row>
    <row r="6">
      <c r="A6" s="3" t="inlineStr">
        <is>
          <t>07. UTP Chiclayo</t>
        </is>
      </c>
      <c r="B6" s="3" t="n">
        <v>53</v>
      </c>
      <c r="C6" s="3" t="n">
        <v>16</v>
      </c>
      <c r="D6" s="3" t="n">
        <v>10504</v>
      </c>
      <c r="E6" s="3" t="n">
        <v>11064</v>
      </c>
      <c r="F6" s="3" t="n">
        <v>83</v>
      </c>
      <c r="G6" s="3" t="n">
        <v>0</v>
      </c>
    </row>
    <row r="7">
      <c r="A7" s="3" t="inlineStr">
        <is>
          <t>01. UTP Lima Centro</t>
        </is>
      </c>
      <c r="B7" s="3" t="n">
        <v>90</v>
      </c>
      <c r="C7" s="3" t="n">
        <v>33</v>
      </c>
      <c r="D7" s="3" t="n">
        <v>14434</v>
      </c>
      <c r="E7" s="3" t="n">
        <v>15220</v>
      </c>
      <c r="F7" s="3" t="n">
        <v>82</v>
      </c>
      <c r="G7" s="3" t="n">
        <v>0</v>
      </c>
    </row>
    <row r="8">
      <c r="A8" s="3" t="inlineStr">
        <is>
          <t>03. UTP Lima Centro Torre Petit Thouars</t>
        </is>
      </c>
      <c r="B8" s="3" t="n">
        <v>19</v>
      </c>
      <c r="C8" s="3" t="n">
        <v>7</v>
      </c>
      <c r="D8" s="3" t="n">
        <v>5418</v>
      </c>
      <c r="E8" s="3" t="n">
        <v>5287</v>
      </c>
      <c r="F8" s="3" t="n">
        <v>97</v>
      </c>
      <c r="G8" s="3" t="n">
        <v>1</v>
      </c>
    </row>
    <row r="9">
      <c r="A9" s="3" t="inlineStr">
        <is>
          <t>01. UTP Lima Centro Sede Central</t>
        </is>
      </c>
      <c r="B9" s="3" t="n">
        <v>36</v>
      </c>
      <c r="C9" s="3" t="n">
        <v>9</v>
      </c>
      <c r="D9" s="3" t="n">
        <v>1930</v>
      </c>
      <c r="E9" s="3" t="n">
        <v>1884</v>
      </c>
      <c r="F9" s="3" t="n">
        <v>84</v>
      </c>
      <c r="G9" s="3" t="n">
        <v>1</v>
      </c>
    </row>
    <row r="10">
      <c r="A10" s="3" t="inlineStr">
        <is>
          <t>04. UTP Lima Centro Torre Pacífico</t>
        </is>
      </c>
      <c r="B10" s="3" t="n">
        <v>13</v>
      </c>
      <c r="C10" s="3" t="n">
        <v>7</v>
      </c>
      <c r="D10" s="3" t="n">
        <v>3812</v>
      </c>
      <c r="E10" s="3" t="n">
        <v>3147</v>
      </c>
      <c r="F10" s="3" t="n">
        <v>82</v>
      </c>
      <c r="G10" s="3" t="n">
        <v>1</v>
      </c>
    </row>
    <row r="11">
      <c r="A11" s="3" t="inlineStr">
        <is>
          <t>02. UTP Lima Centro Torre Arequipa</t>
        </is>
      </c>
      <c r="B11" s="3" t="n">
        <v>22</v>
      </c>
      <c r="C11" s="3" t="n">
        <v>12</v>
      </c>
      <c r="D11" s="3" t="n">
        <v>3274</v>
      </c>
      <c r="E11" s="3" t="n">
        <v>4902</v>
      </c>
      <c r="F11" s="3" t="n">
        <v>59</v>
      </c>
      <c r="G11" s="3" t="n">
        <v>1</v>
      </c>
    </row>
    <row r="12">
      <c r="A12" s="3" t="inlineStr">
        <is>
          <t>06. UTP Arequipa</t>
        </is>
      </c>
      <c r="B12" s="3" t="n">
        <v>65</v>
      </c>
      <c r="C12" s="3" t="n">
        <v>23</v>
      </c>
      <c r="D12" s="3" t="n">
        <v>14327</v>
      </c>
      <c r="E12" s="3" t="n">
        <v>14839</v>
      </c>
      <c r="F12" s="3" t="n">
        <v>80</v>
      </c>
      <c r="G12" s="3" t="n">
        <v>0</v>
      </c>
    </row>
    <row r="13">
      <c r="A13" s="3" t="inlineStr">
        <is>
          <t>02. UTP Arequipa Parra I</t>
        </is>
      </c>
      <c r="B13" s="3" t="n">
        <v>22</v>
      </c>
      <c r="C13" s="3" t="n">
        <v>9</v>
      </c>
      <c r="D13" s="3" t="n">
        <v>4469</v>
      </c>
      <c r="E13" s="3" t="n">
        <v>4938</v>
      </c>
      <c r="F13" s="3" t="n">
        <v>88</v>
      </c>
      <c r="G13" s="3" t="n">
        <v>1</v>
      </c>
    </row>
    <row r="14">
      <c r="A14" s="3" t="inlineStr">
        <is>
          <t>03. UTP Arequipa Parra II</t>
        </is>
      </c>
      <c r="B14" s="3" t="n">
        <v>32</v>
      </c>
      <c r="C14" s="3" t="n">
        <v>6</v>
      </c>
      <c r="D14" s="3" t="n">
        <v>6624</v>
      </c>
      <c r="E14" s="3" t="n">
        <v>7100</v>
      </c>
      <c r="F14" s="3" t="n">
        <v>83</v>
      </c>
      <c r="G14" s="3" t="n">
        <v>1</v>
      </c>
    </row>
    <row r="15">
      <c r="A15" s="3" t="inlineStr">
        <is>
          <t>01. UTP Arequipa Tacna y Arica</t>
        </is>
      </c>
      <c r="B15" s="3" t="n">
        <v>11</v>
      </c>
      <c r="C15" s="3" t="n">
        <v>10</v>
      </c>
      <c r="D15" s="3" t="n">
        <v>3234</v>
      </c>
      <c r="E15" s="3" t="n">
        <v>2801</v>
      </c>
      <c r="F15" s="3" t="n">
        <v>59</v>
      </c>
      <c r="G15" s="3" t="n">
        <v>1</v>
      </c>
    </row>
    <row r="16">
      <c r="A16" s="3" t="inlineStr">
        <is>
          <t>09. UTP Piura</t>
        </is>
      </c>
      <c r="B16" s="3" t="n">
        <v>17</v>
      </c>
      <c r="C16" s="3" t="n">
        <v>13</v>
      </c>
      <c r="D16" s="3" t="n">
        <v>4976</v>
      </c>
      <c r="E16" s="3" t="n">
        <v>4255</v>
      </c>
      <c r="F16" s="3" t="n">
        <v>79</v>
      </c>
      <c r="G16" s="3" t="n">
        <v>0</v>
      </c>
    </row>
    <row r="17">
      <c r="A17" s="3" t="inlineStr">
        <is>
          <t>13. UTP Iquitos</t>
        </is>
      </c>
      <c r="B17" s="3" t="n">
        <v>42</v>
      </c>
      <c r="C17" s="3" t="n">
        <v>6</v>
      </c>
      <c r="D17" s="3" t="n">
        <v>9644</v>
      </c>
      <c r="E17" s="3" t="n">
        <v>10041</v>
      </c>
      <c r="F17" s="3" t="n">
        <v>76</v>
      </c>
      <c r="G17" s="3" t="n">
        <v>0</v>
      </c>
    </row>
    <row r="18">
      <c r="A18" s="3" t="inlineStr">
        <is>
          <t>14. UTP Pucallpa</t>
        </is>
      </c>
      <c r="B18" s="3" t="n">
        <v>27</v>
      </c>
      <c r="C18" s="3" t="n">
        <v>6</v>
      </c>
      <c r="D18" s="3" t="n">
        <v>10800</v>
      </c>
      <c r="E18" s="3" t="n">
        <v>17449</v>
      </c>
      <c r="F18" s="3" t="n">
        <v>74</v>
      </c>
      <c r="G18" s="3" t="n">
        <v>0</v>
      </c>
    </row>
    <row r="19">
      <c r="A19" s="3" t="inlineStr">
        <is>
          <t>02. UTP Lima Norte</t>
        </is>
      </c>
      <c r="B19" s="3" t="n">
        <v>38</v>
      </c>
      <c r="C19" s="3" t="n">
        <v>17</v>
      </c>
      <c r="D19" s="3" t="n">
        <v>4167</v>
      </c>
      <c r="E19" s="3" t="n">
        <v>3294</v>
      </c>
      <c r="F19" s="3" t="n">
        <v>74</v>
      </c>
      <c r="G19" s="3" t="n">
        <v>0</v>
      </c>
    </row>
    <row r="20">
      <c r="A20" s="3" t="inlineStr">
        <is>
          <t>12. UTP Trujillo</t>
        </is>
      </c>
      <c r="B20" s="3" t="n">
        <v>21</v>
      </c>
      <c r="C20" s="3" t="n">
        <v>8</v>
      </c>
      <c r="D20" s="3" t="n">
        <v>6846</v>
      </c>
      <c r="E20" s="3" t="n">
        <v>5891</v>
      </c>
      <c r="F20" s="3" t="n">
        <v>66</v>
      </c>
      <c r="G20" s="3" t="n">
        <v>0</v>
      </c>
    </row>
    <row r="21">
      <c r="A21" s="3" t="inlineStr">
        <is>
          <t>08. UTP Ica</t>
        </is>
      </c>
      <c r="B21" s="3" t="n">
        <v>31</v>
      </c>
      <c r="C21" s="3" t="n">
        <v>13</v>
      </c>
      <c r="D21" s="3" t="n">
        <v>4776</v>
      </c>
      <c r="E21" s="3" t="n">
        <v>3236</v>
      </c>
      <c r="F21" s="3" t="n">
        <v>63</v>
      </c>
      <c r="G21" s="3" t="n">
        <v>0</v>
      </c>
    </row>
    <row r="22">
      <c r="A22" s="3" t="inlineStr">
        <is>
          <t>10. UTP Chimbote</t>
        </is>
      </c>
      <c r="B22" s="3" t="n">
        <v>17</v>
      </c>
      <c r="C22" s="3" t="n">
        <v>10</v>
      </c>
      <c r="D22" s="3" t="n">
        <v>10472</v>
      </c>
      <c r="E22" s="3" t="n">
        <v>7043</v>
      </c>
      <c r="F22" s="3" t="n">
        <v>61</v>
      </c>
      <c r="G22" s="3" t="n">
        <v>0</v>
      </c>
    </row>
    <row r="23">
      <c r="A23" s="3" t="inlineStr">
        <is>
          <t>15. UTP Tacna</t>
        </is>
      </c>
      <c r="B23" s="3" t="n">
        <v>66</v>
      </c>
      <c r="C23" s="3" t="n">
        <v>6</v>
      </c>
      <c r="D23" s="3" t="n">
        <v>12426</v>
      </c>
      <c r="E23" s="3" t="n">
        <v>2643</v>
      </c>
      <c r="F23" s="3" t="n">
        <v>20</v>
      </c>
      <c r="G23" s="3" t="n">
        <v>0</v>
      </c>
    </row>
  </sheetData>
  <pageMargins left="0.75" right="0.75" top="1" bottom="1"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G20"/>
  <sheetViews>
    <sheetView showGridLines="0" workbookViewId="0">
      <pane ySplit="1" topLeftCell="A2" activePane="bottomLeft" state="frozen"/>
      <selection pane="bottomLeft" activeCell="A1" sqref="A1"/>
    </sheetView>
  </sheetViews>
  <sheetFormatPr baseColWidth="8" defaultRowHeight="15"/>
  <cols>
    <col width="62" customWidth="1" min="1" max="1"/>
    <col width="16" customWidth="1" min="2" max="2"/>
    <col width="18" customWidth="1" min="3" max="3"/>
    <col width="20" customWidth="1" min="4" max="4"/>
    <col width="20" customWidth="1" min="5" max="5"/>
    <col width="22" customWidth="1" min="6" max="6"/>
    <col width="20" customWidth="1" min="7" max="7"/>
  </cols>
  <sheetData>
    <row r="1" ht="30" customHeight="1">
      <c r="A1" s="1" t="inlineStr">
        <is>
          <t>proyecto</t>
        </is>
      </c>
      <c r="B1" s="1" t="inlineStr">
        <is>
          <t>estado</t>
        </is>
      </c>
      <c r="C1" s="1" t="inlineStr">
        <is>
          <t>avance_obra_pct</t>
        </is>
      </c>
      <c r="D1" s="1" t="inlineStr">
        <is>
          <t>avance_compras_pct</t>
        </is>
      </c>
      <c r="E1" s="1" t="inlineStr">
        <is>
          <t>fecha_objetivo_texto</t>
        </is>
      </c>
      <c r="F1" s="1" t="inlineStr">
        <is>
          <t>con_observaciones</t>
        </is>
      </c>
      <c r="G1" s="1" t="inlineStr">
        <is>
          <t>nueva_fecha_texto</t>
        </is>
      </c>
    </row>
    <row r="2">
      <c r="A2" s="3" t="inlineStr">
        <is>
          <t>Nuevo Edificio Campus Lima Norte (Salud) – Por definir ITSE</t>
        </is>
      </c>
      <c r="B2" s="3" t="inlineStr">
        <is>
          <t>En proceso</t>
        </is>
      </c>
      <c r="C2" s="3" t="n">
        <v>93</v>
      </c>
      <c r="D2" s="3" t="n">
        <v>94</v>
      </c>
      <c r="E2" s="3" t="inlineStr">
        <is>
          <t>SET 26</t>
        </is>
      </c>
      <c r="F2" s="3" t="inlineStr">
        <is>
          <t>-</t>
        </is>
      </c>
      <c r="G2" s="3" t="inlineStr">
        <is>
          <t>-</t>
        </is>
      </c>
    </row>
    <row r="3">
      <c r="A3" s="3" t="inlineStr">
        <is>
          <t>Laboratorios Salud Campus Lima Norte – ETAPA I – Pendiente ITSE</t>
        </is>
      </c>
      <c r="B3" s="3" t="inlineStr">
        <is>
          <t>En proceso</t>
        </is>
      </c>
      <c r="C3" s="3" t="n">
        <v>100</v>
      </c>
      <c r="D3" s="3" t="n">
        <v>100</v>
      </c>
      <c r="E3" s="3" t="inlineStr">
        <is>
          <t>SET 26</t>
        </is>
      </c>
      <c r="F3" s="3" t="inlineStr">
        <is>
          <t>Si</t>
        </is>
      </c>
      <c r="G3" s="3" t="inlineStr">
        <is>
          <t>-</t>
        </is>
      </c>
    </row>
    <row r="4">
      <c r="A4" s="3" t="inlineStr">
        <is>
          <t>Laboratorios de Técnicas Dietéticas y Terapia (Iquitos –Pucallpa)</t>
        </is>
      </c>
      <c r="B4" s="3" t="inlineStr">
        <is>
          <t>En proceso</t>
        </is>
      </c>
      <c r="C4" s="3" t="n">
        <v>100</v>
      </c>
      <c r="D4" s="3" t="n">
        <v>50</v>
      </c>
      <c r="E4" s="3" t="inlineStr">
        <is>
          <t>SET 26</t>
        </is>
      </c>
      <c r="F4" s="3" t="inlineStr">
        <is>
          <t>-</t>
        </is>
      </c>
      <c r="G4" s="3" t="inlineStr">
        <is>
          <t>-</t>
        </is>
      </c>
    </row>
    <row r="5">
      <c r="A5" s="3" t="inlineStr">
        <is>
          <t>Nuevo Campus Huánuco - ITSE - 14/08</t>
        </is>
      </c>
      <c r="B5" s="3" t="inlineStr">
        <is>
          <t>En proceso</t>
        </is>
      </c>
      <c r="C5" s="3" t="n">
        <v>95</v>
      </c>
      <c r="D5" s="3" t="n">
        <v>98</v>
      </c>
      <c r="E5" s="3" t="inlineStr">
        <is>
          <t>OCT 26</t>
        </is>
      </c>
      <c r="F5" s="3" t="inlineStr">
        <is>
          <t>-</t>
        </is>
      </c>
      <c r="G5" s="3" t="inlineStr">
        <is>
          <t>-</t>
        </is>
      </c>
    </row>
    <row r="6">
      <c r="A6" s="3" t="inlineStr">
        <is>
          <t>Nuevo Campus Huamanga – ITSE – 2/10</t>
        </is>
      </c>
      <c r="B6" s="3" t="inlineStr">
        <is>
          <t>En proceso</t>
        </is>
      </c>
      <c r="C6" s="3" t="n">
        <v>90</v>
      </c>
      <c r="D6" s="3" t="n">
        <v>50</v>
      </c>
      <c r="E6" s="3" t="inlineStr">
        <is>
          <t>OCT 26</t>
        </is>
      </c>
      <c r="F6" s="3" t="inlineStr">
        <is>
          <t>-</t>
        </is>
      </c>
      <c r="G6" s="3" t="inlineStr">
        <is>
          <t>-</t>
        </is>
      </c>
    </row>
    <row r="7">
      <c r="A7" s="3" t="inlineStr">
        <is>
          <t>Nuevo Campus Juliaca – ITSE - 18/11</t>
        </is>
      </c>
      <c r="B7" s="3" t="inlineStr">
        <is>
          <t>En proceso</t>
        </is>
      </c>
      <c r="C7" s="3" t="n">
        <v>66</v>
      </c>
      <c r="D7" s="3" t="n">
        <v>20</v>
      </c>
      <c r="E7" s="3" t="inlineStr">
        <is>
          <t>NOV 26</t>
        </is>
      </c>
      <c r="F7" s="3" t="inlineStr">
        <is>
          <t>-</t>
        </is>
      </c>
      <c r="G7" s="3" t="inlineStr">
        <is>
          <t>-</t>
        </is>
      </c>
    </row>
    <row r="8">
      <c r="A8" s="3" t="inlineStr">
        <is>
          <t>Nuevos Laboratorios de Hotelería y Turismo – Lima Centro</t>
        </is>
      </c>
      <c r="B8" s="3" t="inlineStr">
        <is>
          <t>En proceso</t>
        </is>
      </c>
      <c r="C8" s="3" t="n">
        <v>15</v>
      </c>
      <c r="D8" s="3" t="n">
        <v>0</v>
      </c>
      <c r="E8" s="3" t="inlineStr">
        <is>
          <t>ENE 27</t>
        </is>
      </c>
      <c r="F8" s="3" t="inlineStr">
        <is>
          <t>-</t>
        </is>
      </c>
      <c r="G8" s="3" t="inlineStr">
        <is>
          <t>-</t>
        </is>
      </c>
    </row>
    <row r="9">
      <c r="A9" s="3" t="inlineStr">
        <is>
          <t>Nuevos Laboratorios de Odontología – Lima Centro - Jarrita</t>
        </is>
      </c>
      <c r="B9" s="3" t="inlineStr">
        <is>
          <t>En proceso</t>
        </is>
      </c>
      <c r="C9" s="3" t="n">
        <v>15</v>
      </c>
      <c r="D9" s="3" t="n">
        <v>0</v>
      </c>
      <c r="E9" s="3" t="inlineStr">
        <is>
          <t>MAR 27</t>
        </is>
      </c>
      <c r="F9" s="3" t="inlineStr">
        <is>
          <t>-</t>
        </is>
      </c>
      <c r="G9" s="3" t="inlineStr">
        <is>
          <t>-</t>
        </is>
      </c>
    </row>
    <row r="10">
      <c r="A10" s="3" t="inlineStr">
        <is>
          <t>Nuevo Campus Cusco</t>
        </is>
      </c>
      <c r="B10" s="3" t="inlineStr">
        <is>
          <t>Pendiente</t>
        </is>
      </c>
      <c r="C10" s="3" t="n">
        <v>0</v>
      </c>
      <c r="D10" s="3" t="n">
        <v>0</v>
      </c>
      <c r="E10" s="3" t="inlineStr">
        <is>
          <t>JUL 27</t>
        </is>
      </c>
      <c r="F10" s="3" t="inlineStr">
        <is>
          <t>-</t>
        </is>
      </c>
      <c r="G10" s="3" t="inlineStr">
        <is>
          <t>-</t>
        </is>
      </c>
    </row>
    <row r="11">
      <c r="A11" s="3" t="inlineStr">
        <is>
          <t>Ampliación Campus Huancayo</t>
        </is>
      </c>
      <c r="B11" s="3" t="inlineStr">
        <is>
          <t>Pendiente</t>
        </is>
      </c>
      <c r="C11" s="3" t="n">
        <v>0</v>
      </c>
      <c r="D11" s="3" t="n">
        <v>0</v>
      </c>
      <c r="E11" s="3" t="inlineStr">
        <is>
          <t>AGO 27</t>
        </is>
      </c>
      <c r="F11" s="3" t="inlineStr">
        <is>
          <t>-</t>
        </is>
      </c>
      <c r="G11" s="3" t="inlineStr">
        <is>
          <t>-</t>
        </is>
      </c>
    </row>
    <row r="12">
      <c r="A12" s="3" t="inlineStr">
        <is>
          <t>Ampliación Campus Piura</t>
        </is>
      </c>
      <c r="B12" s="3" t="inlineStr">
        <is>
          <t>Pendiente</t>
        </is>
      </c>
      <c r="C12" s="3" t="n">
        <v>0</v>
      </c>
      <c r="D12" s="3" t="n">
        <v>0</v>
      </c>
      <c r="E12" s="3" t="inlineStr">
        <is>
          <t>AGO 27</t>
        </is>
      </c>
      <c r="F12" s="3" t="inlineStr">
        <is>
          <t>-</t>
        </is>
      </c>
      <c r="G12" s="3" t="inlineStr">
        <is>
          <t>-</t>
        </is>
      </c>
    </row>
    <row r="13">
      <c r="A13" s="3" t="inlineStr">
        <is>
          <t>Remodelación de Saco Oliveros</t>
        </is>
      </c>
      <c r="B13" s="3" t="inlineStr">
        <is>
          <t>Pendiente</t>
        </is>
      </c>
      <c r="C13" s="3" t="n">
        <v>0</v>
      </c>
      <c r="D13" s="3" t="n">
        <v>0</v>
      </c>
      <c r="E13" s="3" t="inlineStr">
        <is>
          <t>ENE 27</t>
        </is>
      </c>
      <c r="F13" s="3" t="inlineStr">
        <is>
          <t>-</t>
        </is>
      </c>
      <c r="G13" s="3" t="inlineStr">
        <is>
          <t>-</t>
        </is>
      </c>
    </row>
    <row r="14">
      <c r="A14" s="3" t="inlineStr">
        <is>
          <t>Clínica Odontológica – Guzman Blanco</t>
        </is>
      </c>
      <c r="B14" s="3" t="inlineStr">
        <is>
          <t>Pendiente</t>
        </is>
      </c>
      <c r="C14" s="3" t="n">
        <v>0</v>
      </c>
      <c r="D14" s="3" t="n">
        <v>0</v>
      </c>
      <c r="E14" s="3" t="inlineStr">
        <is>
          <t>AGO 27</t>
        </is>
      </c>
      <c r="F14" s="3" t="inlineStr">
        <is>
          <t>-</t>
        </is>
      </c>
      <c r="G14" s="3" t="inlineStr">
        <is>
          <t>-</t>
        </is>
      </c>
    </row>
    <row r="15">
      <c r="A15" s="3" t="inlineStr">
        <is>
          <t>Idat Campus SJL</t>
        </is>
      </c>
      <c r="B15" s="3" t="inlineStr">
        <is>
          <t>Pendiente</t>
        </is>
      </c>
      <c r="C15" s="3" t="n">
        <v>0</v>
      </c>
      <c r="D15" s="3" t="n">
        <v>0</v>
      </c>
      <c r="E15" s="3" t="inlineStr">
        <is>
          <t>MAR 27</t>
        </is>
      </c>
      <c r="F15" s="3" t="inlineStr">
        <is>
          <t>-</t>
        </is>
      </c>
      <c r="G15" s="3" t="inlineStr">
        <is>
          <t>-</t>
        </is>
      </c>
    </row>
    <row r="16">
      <c r="A16" s="3" t="inlineStr">
        <is>
          <t>Idat Campus SJM</t>
        </is>
      </c>
      <c r="B16" s="3" t="inlineStr">
        <is>
          <t>Pendiente</t>
        </is>
      </c>
      <c r="C16" s="3" t="n">
        <v>0</v>
      </c>
      <c r="D16" s="3" t="n">
        <v>0</v>
      </c>
      <c r="E16" s="3" t="inlineStr">
        <is>
          <t>MAR 27</t>
        </is>
      </c>
      <c r="F16" s="3" t="inlineStr">
        <is>
          <t>-</t>
        </is>
      </c>
      <c r="G16" s="3" t="inlineStr">
        <is>
          <t>-</t>
        </is>
      </c>
    </row>
    <row r="17">
      <c r="A17" s="3" t="inlineStr">
        <is>
          <t>Idat Chiclayo</t>
        </is>
      </c>
      <c r="B17" s="3" t="inlineStr">
        <is>
          <t>Pendiente</t>
        </is>
      </c>
      <c r="C17" s="3" t="n">
        <v>0</v>
      </c>
      <c r="D17" s="3" t="n">
        <v>0</v>
      </c>
      <c r="E17" s="3" t="inlineStr">
        <is>
          <t>MAR 27</t>
        </is>
      </c>
      <c r="F17" s="3" t="inlineStr">
        <is>
          <t>-</t>
        </is>
      </c>
      <c r="G17" s="3" t="inlineStr">
        <is>
          <t>-</t>
        </is>
      </c>
    </row>
    <row r="18">
      <c r="A18" s="3" t="inlineStr">
        <is>
          <t>Medicina Ica</t>
        </is>
      </c>
      <c r="B18" s="3" t="inlineStr">
        <is>
          <t>Pendiente</t>
        </is>
      </c>
      <c r="C18" s="3" t="n">
        <v>0</v>
      </c>
      <c r="D18" s="3" t="n">
        <v>0</v>
      </c>
      <c r="E18" s="3" t="inlineStr">
        <is>
          <t>MAR 27</t>
        </is>
      </c>
      <c r="F18" s="3" t="inlineStr">
        <is>
          <t>-</t>
        </is>
      </c>
      <c r="G18" s="3" t="inlineStr">
        <is>
          <t>-</t>
        </is>
      </c>
    </row>
    <row r="19">
      <c r="A19" s="3" t="inlineStr">
        <is>
          <t>Medicina Trujillo</t>
        </is>
      </c>
      <c r="B19" s="3" t="inlineStr">
        <is>
          <t>Pendiente</t>
        </is>
      </c>
      <c r="C19" s="3" t="n">
        <v>0</v>
      </c>
      <c r="D19" s="3" t="n">
        <v>0</v>
      </c>
      <c r="E19" s="3" t="inlineStr">
        <is>
          <t>MAR 27</t>
        </is>
      </c>
      <c r="F19" s="3" t="inlineStr">
        <is>
          <t>-</t>
        </is>
      </c>
      <c r="G19" s="3" t="inlineStr">
        <is>
          <t>-</t>
        </is>
      </c>
    </row>
    <row r="20">
      <c r="A20" s="3" t="inlineStr">
        <is>
          <t>Medicina Piura</t>
        </is>
      </c>
      <c r="B20" s="3" t="inlineStr">
        <is>
          <t>Pendiente</t>
        </is>
      </c>
      <c r="C20" s="3" t="n">
        <v>0</v>
      </c>
      <c r="D20" s="3" t="n">
        <v>0</v>
      </c>
      <c r="E20" s="3" t="inlineStr">
        <is>
          <t>MAR 27</t>
        </is>
      </c>
      <c r="F20" s="3" t="inlineStr">
        <is>
          <t>-</t>
        </is>
      </c>
      <c r="G20" s="3" t="inlineStr">
        <is>
          <t>-</t>
        </is>
      </c>
    </row>
  </sheetData>
  <dataValidations count="1">
    <dataValidation sqref="B2:B20" showDropDown="0" showInputMessage="0" showErrorMessage="0" allowBlank="1" type="list">
      <formula1>"En proceso,Pendiente"</formula1>
    </dataValidation>
  </dataValidations>
  <pageMargins left="0.75" right="0.75" top="1" bottom="1"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5"/>
  <sheetViews>
    <sheetView showGridLines="0" workbookViewId="0">
      <pane ySplit="1" topLeftCell="A2" activePane="bottomLeft" state="frozen"/>
      <selection pane="bottomLeft" activeCell="A1" sqref="A1"/>
    </sheetView>
  </sheetViews>
  <sheetFormatPr baseColWidth="8" defaultRowHeight="15"/>
  <cols>
    <col width="24" customWidth="1" min="1" max="1"/>
    <col width="42" customWidth="1" min="2" max="2"/>
    <col width="18" customWidth="1" min="3" max="3"/>
    <col width="20" customWidth="1" min="4" max="4"/>
    <col width="26" customWidth="1" min="5" max="5"/>
    <col width="20" customWidth="1" min="6" max="6"/>
    <col width="100" customWidth="1" min="7" max="7"/>
  </cols>
  <sheetData>
    <row r="1" ht="30" customHeight="1">
      <c r="A1" s="1" t="inlineStr">
        <is>
          <t>campus</t>
        </is>
      </c>
      <c r="B1" s="1" t="inlineStr">
        <is>
          <t>descripcion</t>
        </is>
      </c>
      <c r="C1" s="1" t="inlineStr">
        <is>
          <t>avance_obra_pct</t>
        </is>
      </c>
      <c r="D1" s="1" t="inlineStr">
        <is>
          <t>avance_compras_pct</t>
        </is>
      </c>
      <c r="E1" s="1" t="inlineStr">
        <is>
          <t>avance_implementacion_pct</t>
        </is>
      </c>
      <c r="F1" s="1" t="inlineStr">
        <is>
          <t>fecha_objetivo_texto</t>
        </is>
      </c>
      <c r="G1" s="1" t="inlineStr">
        <is>
          <t>url_seguimiento</t>
        </is>
      </c>
    </row>
    <row r="2">
      <c r="A2" s="3" t="inlineStr">
        <is>
          <t>Campus Huánuco</t>
        </is>
      </c>
      <c r="B2" s="3" t="inlineStr">
        <is>
          <t>1 semisótano · 5 pisos · 1 azotea</t>
        </is>
      </c>
      <c r="C2" s="3" t="inlineStr">
        <is>
          <t>97</t>
        </is>
      </c>
      <c r="D2" s="3" t="inlineStr">
        <is>
          <t>95</t>
        </is>
      </c>
      <c r="E2" s="3" t="inlineStr">
        <is>
          <t>96</t>
        </is>
      </c>
      <c r="F2" s="3" t="inlineStr">
        <is>
          <t>OCT 26</t>
        </is>
      </c>
      <c r="G2" s="3" t="inlineStr">
        <is>
          <t>https://seguimiento-proyectos-ops-utp.proyectos-ops-utp.workers.dev/?p=implementacion-nueva-sede-utp-huanuco-etapa-1&amp;tab=p1</t>
        </is>
      </c>
    </row>
    <row r="3">
      <c r="A3" s="3" t="inlineStr">
        <is>
          <t>Campus Huamanga</t>
        </is>
      </c>
      <c r="B3" s="3" t="inlineStr">
        <is>
          <t>1 sótano · 5 pisos · 1 azotea</t>
        </is>
      </c>
      <c r="C3" s="3" t="inlineStr">
        <is>
          <t>90</t>
        </is>
      </c>
      <c r="D3" s="3" t="inlineStr">
        <is>
          <t>50</t>
        </is>
      </c>
      <c r="E3" s="3" t="inlineStr">
        <is>
          <t>—</t>
        </is>
      </c>
      <c r="F3" s="3" t="inlineStr">
        <is>
          <t>OCT 26</t>
        </is>
      </c>
      <c r="G3" s="3" t="inlineStr">
        <is>
          <t>https://seguimiento-proyectos-ops-utp.proyectos-ops-utp.workers.dev/?p=implementacion-nueva-sede-utp-huamanga-etapa-1&amp;tab=p1</t>
        </is>
      </c>
    </row>
    <row r="4">
      <c r="A4" s="3" t="inlineStr">
        <is>
          <t>Campus Juliaca</t>
        </is>
      </c>
      <c r="B4" s="3" t="inlineStr">
        <is>
          <t>1 sótano · 5 pisos · 1 azotea</t>
        </is>
      </c>
      <c r="C4" s="3" t="inlineStr">
        <is>
          <t>71</t>
        </is>
      </c>
      <c r="D4" s="3" t="inlineStr">
        <is>
          <t>0</t>
        </is>
      </c>
      <c r="E4" s="3" t="inlineStr">
        <is>
          <t>35.5</t>
        </is>
      </c>
      <c r="F4" s="3" t="inlineStr">
        <is>
          <t>NOV 26</t>
        </is>
      </c>
      <c r="G4" s="3" t="inlineStr">
        <is>
          <t>https://seguimiento-proyectos-ops-utp.proyectos-ops-utp.workers.dev/?p=implementacion-nueva-sede-utp-juliaca-etapa-1&amp;tab=p1</t>
        </is>
      </c>
    </row>
    <row r="5">
      <c r="A5" s="3" t="inlineStr">
        <is>
          <t>Campus Lima Norte</t>
        </is>
      </c>
      <c r="B5" s="3" t="inlineStr">
        <is>
          <t>4 sótanos · 1 semisótano · 7 pisos · 1 azotea</t>
        </is>
      </c>
      <c r="C5" s="3" t="inlineStr">
        <is>
          <t>98</t>
        </is>
      </c>
      <c r="D5" s="3" t="inlineStr">
        <is>
          <t>95</t>
        </is>
      </c>
      <c r="E5" s="3" t="inlineStr">
        <is>
          <t>96.5</t>
        </is>
      </c>
      <c r="F5" s="3" t="inlineStr">
        <is>
          <t>SET 26</t>
        </is>
      </c>
      <c r="G5" s="3" t="inlineStr">
        <is>
          <t>https://seguimiento-proyectos-ops-utp.proyectos-ops-utp.workers.dev/?p=implementacion-nueva-torre-utp-lima-norte&amp;tab=p1</t>
        </is>
      </c>
    </row>
  </sheetData>
  <pageMargins left="0.75" right="0.75" top="1" bottom="1"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C55"/>
  <sheetViews>
    <sheetView showGridLines="0" workbookViewId="0">
      <pane ySplit="1" topLeftCell="A2" activePane="bottomLeft" state="frozen"/>
      <selection pane="bottomLeft" activeCell="A1" sqref="A1"/>
    </sheetView>
  </sheetViews>
  <sheetFormatPr baseColWidth="8" defaultRowHeight="15"/>
  <cols>
    <col width="50" customWidth="1" min="1" max="1"/>
    <col width="14" customWidth="1" min="2" max="2"/>
    <col width="100" customWidth="1" min="3" max="3"/>
  </cols>
  <sheetData>
    <row r="1" ht="30" customHeight="1">
      <c r="A1" s="1" t="inlineStr">
        <is>
          <t>titulo</t>
        </is>
      </c>
      <c r="B1" s="1" t="inlineStr">
        <is>
          <t>avance_pct</t>
        </is>
      </c>
      <c r="C1" s="1" t="inlineStr">
        <is>
          <t>url</t>
        </is>
      </c>
    </row>
    <row r="2">
      <c r="A2" s="3" t="inlineStr">
        <is>
          <t>Trujillo | ÁREAS DE ESPARCIMIENTO</t>
        </is>
      </c>
      <c r="B2" s="3" t="inlineStr">
        <is>
          <t xml:space="preserve">64 </t>
        </is>
      </c>
      <c r="C2" s="3" t="inlineStr">
        <is>
          <t>https://lovely-horn-db6.notion.site/3d755146449f80c0a3cce29f4f317a51?v=3d755146449f802ba9a4000c451a72db</t>
        </is>
      </c>
    </row>
    <row r="3">
      <c r="A3" s="3" t="inlineStr">
        <is>
          <t>Trujillo | ZONA DE FOTOCOPIADO</t>
        </is>
      </c>
      <c r="B3" s="3" t="inlineStr">
        <is>
          <t xml:space="preserve">75 </t>
        </is>
      </c>
      <c r="C3" s="3" t="inlineStr">
        <is>
          <t>https://lovely-horn-db6.notion.site/3d755146449f80c0a3cce29f4f317a51?v=3d755146449f802ba9a4000c451a72db</t>
        </is>
      </c>
    </row>
    <row r="4">
      <c r="A4" s="3" t="inlineStr">
        <is>
          <t>Trujillo | CAFETERÍA CONCESIONARIO</t>
        </is>
      </c>
      <c r="B4" s="3" t="inlineStr">
        <is>
          <t xml:space="preserve">82 </t>
        </is>
      </c>
      <c r="C4" s="3" t="inlineStr">
        <is>
          <t>https://lovely-horn-db6.notion.site/3d755146449f80c0a3cce29f4f317a51?v=3d755146449f802ba9a4000c451a72db</t>
        </is>
      </c>
    </row>
    <row r="5">
      <c r="A5" s="3" t="inlineStr">
        <is>
          <t>Trujillo | CAFETERÍA CAMPUS</t>
        </is>
      </c>
      <c r="B5" s="3" t="inlineStr">
        <is>
          <t xml:space="preserve">83 </t>
        </is>
      </c>
      <c r="C5" s="3" t="inlineStr">
        <is>
          <t>https://lovely-horn-db6.notion.site/3d755146449f80c0a3cce29f4f317a51?v=3d755146449f802ba9a4000c451a72db</t>
        </is>
      </c>
    </row>
    <row r="6">
      <c r="A6" s="3" t="inlineStr">
        <is>
          <t>SJL | ÁREAS DE ESPARCIMIENTO</t>
        </is>
      </c>
      <c r="B6" s="3" t="inlineStr">
        <is>
          <t xml:space="preserve">33 </t>
        </is>
      </c>
      <c r="C6" s="3" t="inlineStr">
        <is>
          <t>https://lovely-horn-db6.notion.site/3d755146449f80c0a3cce29f4f317a51?v=3d755146449f802ba9a4000c451a72db</t>
        </is>
      </c>
    </row>
    <row r="7">
      <c r="A7" s="3" t="inlineStr">
        <is>
          <t>SJL | ZONA DE FOTOCOPIADO</t>
        </is>
      </c>
      <c r="B7" s="3" t="inlineStr">
        <is>
          <t xml:space="preserve">75 </t>
        </is>
      </c>
      <c r="C7" s="3" t="inlineStr">
        <is>
          <t>https://lovely-horn-db6.notion.site/3d755146449f80c0a3cce29f4f317a51?v=3d755146449f802ba9a4000c451a72db</t>
        </is>
      </c>
    </row>
    <row r="8">
      <c r="A8" s="3" t="inlineStr">
        <is>
          <t>SJL | CAFETERÍA CONCESIONARIO</t>
        </is>
      </c>
      <c r="B8" s="3" t="inlineStr">
        <is>
          <t xml:space="preserve">91 </t>
        </is>
      </c>
      <c r="C8" s="3" t="inlineStr">
        <is>
          <t>https://lovely-horn-db6.notion.site/3d755146449f80c0a3cce29f4f317a51?v=3d755146449f802ba9a4000c451a72db</t>
        </is>
      </c>
    </row>
    <row r="9">
      <c r="A9" s="3" t="inlineStr">
        <is>
          <t>Piura | ÁREAS DE ESPARCIMIENTO</t>
        </is>
      </c>
      <c r="B9" s="3" t="inlineStr">
        <is>
          <t xml:space="preserve">42 </t>
        </is>
      </c>
      <c r="C9" s="3" t="inlineStr">
        <is>
          <t>https://lovely-horn-db6.notion.site/3d755146449f80c0a3cce29f4f317a51?v=3d755146449f802ba9a4000c451a72db</t>
        </is>
      </c>
    </row>
    <row r="10">
      <c r="A10" s="3" t="inlineStr">
        <is>
          <t>Piura | ZONA DE FOTOCOPIADO</t>
        </is>
      </c>
      <c r="B10" s="3" t="inlineStr">
        <is>
          <t xml:space="preserve">100 </t>
        </is>
      </c>
      <c r="C10" s="3" t="inlineStr">
        <is>
          <t>https://lovely-horn-db6.notion.site/3d755146449f80c0a3cce29f4f317a51?v=3d755146449f802ba9a4000c451a72db</t>
        </is>
      </c>
    </row>
    <row r="11">
      <c r="A11" s="3" t="inlineStr">
        <is>
          <t>Piura | CAFETERÍA CONCESIONARIO</t>
        </is>
      </c>
      <c r="B11" s="3" t="inlineStr">
        <is>
          <t xml:space="preserve">64 </t>
        </is>
      </c>
      <c r="C11" s="3" t="inlineStr">
        <is>
          <t>https://lovely-horn-db6.notion.site/3d755146449f80c0a3cce29f4f317a51?v=3d755146449f802ba9a4000c451a72db</t>
        </is>
      </c>
    </row>
    <row r="12">
      <c r="A12" s="3" t="inlineStr">
        <is>
          <t>Lima Sur | ÁREAS DE ESPARCIMIENTO</t>
        </is>
      </c>
      <c r="B12" s="3" t="inlineStr">
        <is>
          <t xml:space="preserve">100 </t>
        </is>
      </c>
      <c r="C12" s="3" t="inlineStr">
        <is>
          <t>https://lovely-horn-db6.notion.site/3d755146449f80c0a3cce29f4f317a51?v=3d755146449f802ba9a4000c451a72db</t>
        </is>
      </c>
    </row>
    <row r="13">
      <c r="A13" s="3" t="inlineStr">
        <is>
          <t>Lima Sur | ZONA DE FOTOCOPIADO</t>
        </is>
      </c>
      <c r="B13" s="3" t="inlineStr">
        <is>
          <t xml:space="preserve">100 </t>
        </is>
      </c>
      <c r="C13" s="3" t="inlineStr">
        <is>
          <t>https://lovely-horn-db6.notion.site/3d755146449f80c0a3cce29f4f317a51?v=3d755146449f802ba9a4000c451a72db</t>
        </is>
      </c>
    </row>
    <row r="14">
      <c r="A14" s="3" t="inlineStr">
        <is>
          <t>Lima Sur | CAFETERÍA CONCESIONARIO</t>
        </is>
      </c>
      <c r="B14" s="3" t="inlineStr">
        <is>
          <t xml:space="preserve">100 </t>
        </is>
      </c>
      <c r="C14" s="3" t="inlineStr">
        <is>
          <t>https://lovely-horn-db6.notion.site/3d755146449f80c0a3cce29f4f317a51?v=3d755146449f802ba9a4000c451a72db</t>
        </is>
      </c>
    </row>
    <row r="15">
      <c r="A15" s="3" t="inlineStr">
        <is>
          <t>Lima Norte | ÁREAS DE ESPARCIMIENTO</t>
        </is>
      </c>
      <c r="B15" s="3" t="inlineStr">
        <is>
          <t xml:space="preserve">100 </t>
        </is>
      </c>
      <c r="C15" s="3" t="inlineStr">
        <is>
          <t>https://lovely-horn-db6.notion.site/3d755146449f80c0a3cce29f4f317a51?v=3d755146449f802ba9a4000c451a72db</t>
        </is>
      </c>
    </row>
    <row r="16">
      <c r="A16" s="3" t="inlineStr">
        <is>
          <t>Lima Norte | ZONA DE FOTOCOPIADO</t>
        </is>
      </c>
      <c r="B16" s="3" t="inlineStr">
        <is>
          <t xml:space="preserve">100 </t>
        </is>
      </c>
      <c r="C16" s="3" t="inlineStr">
        <is>
          <t>https://lovely-horn-db6.notion.site/3d755146449f80c0a3cce29f4f317a51?v=3d755146449f802ba9a4000c451a72db</t>
        </is>
      </c>
    </row>
    <row r="17">
      <c r="A17" s="3" t="inlineStr">
        <is>
          <t>Lima Norte | CAFETERÍA CONCESIONARIO</t>
        </is>
      </c>
      <c r="B17" s="3" t="inlineStr">
        <is>
          <t xml:space="preserve">100 </t>
        </is>
      </c>
      <c r="C17" s="3" t="inlineStr">
        <is>
          <t>https://lovely-horn-db6.notion.site/3d755146449f80c0a3cce29f4f317a51?v=3d755146449f802ba9a4000c451a72db</t>
        </is>
      </c>
    </row>
    <row r="18">
      <c r="A18" s="3" t="inlineStr">
        <is>
          <t>Lima Centro TTA | ÁREAS DE ESPARCIMIENTO</t>
        </is>
      </c>
      <c r="B18" s="3" t="inlineStr">
        <is>
          <t xml:space="preserve">33 </t>
        </is>
      </c>
      <c r="C18" s="3" t="inlineStr">
        <is>
          <t>https://lovely-horn-db6.notion.site/3d755146449f80c0a3cce29f4f317a51?v=3d755146449f802ba9a4000c451a72db</t>
        </is>
      </c>
    </row>
    <row r="19">
      <c r="A19" s="3" t="inlineStr">
        <is>
          <t>Lima Centro TTA | ZONA DE FOTOCOPIADO</t>
        </is>
      </c>
      <c r="B19" s="3" t="inlineStr">
        <is>
          <t xml:space="preserve">100 </t>
        </is>
      </c>
      <c r="C19" s="3" t="inlineStr">
        <is>
          <t>https://lovely-horn-db6.notion.site/3d755146449f80c0a3cce29f4f317a51?v=3d755146449f802ba9a4000c451a72db</t>
        </is>
      </c>
    </row>
    <row r="20">
      <c r="A20" s="3" t="inlineStr">
        <is>
          <t>Lima Centro TTA | CAFETERÍA CONCESIONARIO</t>
        </is>
      </c>
      <c r="B20" s="3" t="inlineStr">
        <is>
          <t xml:space="preserve">100 </t>
        </is>
      </c>
      <c r="C20" s="3" t="inlineStr">
        <is>
          <t>https://lovely-horn-db6.notion.site/3d755146449f80c0a3cce29f4f317a51?v=3d755146449f802ba9a4000c451a72db</t>
        </is>
      </c>
    </row>
    <row r="21">
      <c r="A21" s="3" t="inlineStr">
        <is>
          <t>Lima Centro Petit Thouars | ÁREAS DE ESPARCIMIENTO</t>
        </is>
      </c>
      <c r="B21" s="3" t="inlineStr">
        <is>
          <t xml:space="preserve">11 </t>
        </is>
      </c>
      <c r="C21" s="3" t="inlineStr">
        <is>
          <t>https://lovely-horn-db6.notion.site/3d755146449f80c0a3cce29f4f317a51?v=3d755146449f802ba9a4000c451a72db</t>
        </is>
      </c>
    </row>
    <row r="22">
      <c r="A22" s="3" t="inlineStr">
        <is>
          <t>Lima Centro Pacífico | ÁREAS DE ESPARCIMIENTO</t>
        </is>
      </c>
      <c r="B22" s="3" t="inlineStr">
        <is>
          <t xml:space="preserve">38 </t>
        </is>
      </c>
      <c r="C22" s="3" t="inlineStr">
        <is>
          <t>https://lovely-horn-db6.notion.site/3d755146449f80c0a3cce29f4f317a51?v=3d755146449f802ba9a4000c451a72db</t>
        </is>
      </c>
    </row>
    <row r="23">
      <c r="A23" s="3" t="inlineStr">
        <is>
          <t>Lima Centro Pacífico | CAFETERÍA CONCESIONARIO</t>
        </is>
      </c>
      <c r="B23" s="3" t="inlineStr">
        <is>
          <t xml:space="preserve">74 </t>
        </is>
      </c>
      <c r="C23" s="3" t="inlineStr">
        <is>
          <t>https://lovely-horn-db6.notion.site/3d755146449f80c0a3cce29f4f317a51?v=3d755146449f802ba9a4000c451a72db</t>
        </is>
      </c>
    </row>
    <row r="24">
      <c r="A24" s="3" t="inlineStr">
        <is>
          <t>Lima Centro - SC | ÁREAS DE ESPARCIMIENTO</t>
        </is>
      </c>
      <c r="B24" s="3" t="inlineStr">
        <is>
          <t xml:space="preserve">14 </t>
        </is>
      </c>
      <c r="C24" s="3" t="inlineStr">
        <is>
          <t>https://lovely-horn-db6.notion.site/3d755146449f80c0a3cce29f4f317a51?v=3d755146449f802ba9a4000c451a72db</t>
        </is>
      </c>
    </row>
    <row r="25">
      <c r="A25" s="3" t="inlineStr">
        <is>
          <t>Lima Centro - SC | ZONA DE FOTOCOPIADO</t>
        </is>
      </c>
      <c r="B25" s="3" t="inlineStr">
        <is>
          <t xml:space="preserve">100 </t>
        </is>
      </c>
      <c r="C25" s="3" t="inlineStr">
        <is>
          <t>https://lovely-horn-db6.notion.site/3d755146449f80c0a3cce29f4f317a51?v=3d755146449f802ba9a4000c451a72db</t>
        </is>
      </c>
    </row>
    <row r="26">
      <c r="A26" s="3" t="inlineStr">
        <is>
          <t>Lima Centro - SC | CAFETERÍA CONCESIONARIO</t>
        </is>
      </c>
      <c r="B26" s="3" t="inlineStr">
        <is>
          <t xml:space="preserve">73 </t>
        </is>
      </c>
      <c r="C26" s="3" t="inlineStr">
        <is>
          <t>https://lovely-horn-db6.notion.site/3d755146449f80c0a3cce29f4f317a51?v=3d755146449f802ba9a4000c451a72db</t>
        </is>
      </c>
    </row>
    <row r="27">
      <c r="A27" s="3" t="inlineStr">
        <is>
          <t>Iquitos | ÁREAS DE ESPARCIMIENTO</t>
        </is>
      </c>
      <c r="B27" s="3" t="inlineStr">
        <is>
          <t xml:space="preserve">7 </t>
        </is>
      </c>
      <c r="C27" s="3" t="inlineStr">
        <is>
          <t>https://lovely-horn-db6.notion.site/3d755146449f80c0a3cce29f4f317a51?v=3d755146449f802ba9a4000c451a72db</t>
        </is>
      </c>
    </row>
    <row r="28">
      <c r="A28" s="3" t="inlineStr">
        <is>
          <t>Ica | ÁREAS DE ESPARCIMIENTO</t>
        </is>
      </c>
      <c r="B28" s="3" t="inlineStr">
        <is>
          <t xml:space="preserve">75 </t>
        </is>
      </c>
      <c r="C28" s="3" t="inlineStr">
        <is>
          <t>https://lovely-horn-db6.notion.site/3d755146449f80c0a3cce29f4f317a51?v=3d755146449f802ba9a4000c451a72db</t>
        </is>
      </c>
    </row>
    <row r="29">
      <c r="A29" s="3" t="inlineStr">
        <is>
          <t>Ica | ZONA DE FOTOCOPIADO</t>
        </is>
      </c>
      <c r="B29" s="3" t="inlineStr">
        <is>
          <t xml:space="preserve">100 </t>
        </is>
      </c>
      <c r="C29" s="3" t="inlineStr">
        <is>
          <t>https://lovely-horn-db6.notion.site/3d755146449f80c0a3cce29f4f317a51?v=3d755146449f802ba9a4000c451a72db</t>
        </is>
      </c>
    </row>
    <row r="30">
      <c r="A30" s="3" t="inlineStr">
        <is>
          <t>Ica | CAFETERÍA CONCESIONARIO</t>
        </is>
      </c>
      <c r="B30" s="3" t="inlineStr">
        <is>
          <t xml:space="preserve">0 </t>
        </is>
      </c>
      <c r="C30" s="3" t="inlineStr">
        <is>
          <t>https://lovely-horn-db6.notion.site/3d755146449f80c0a3cce29f4f317a51?v=3d755146449f802ba9a4000c451a72db</t>
        </is>
      </c>
    </row>
    <row r="31">
      <c r="A31" s="3" t="inlineStr">
        <is>
          <t>Ica | CAFETERÍA CAMPUS</t>
        </is>
      </c>
      <c r="B31" s="3" t="inlineStr">
        <is>
          <t xml:space="preserve">100 </t>
        </is>
      </c>
      <c r="C31" s="3" t="inlineStr">
        <is>
          <t>https://lovely-horn-db6.notion.site/3d755146449f80c0a3cce29f4f317a51?v=3d755146449f802ba9a4000c451a72db</t>
        </is>
      </c>
    </row>
    <row r="32">
      <c r="A32" s="3" t="inlineStr">
        <is>
          <t>Huancayo | ÁREAS DE ESPARCIMIENTO</t>
        </is>
      </c>
      <c r="B32" s="3" t="inlineStr">
        <is>
          <t xml:space="preserve">56 </t>
        </is>
      </c>
      <c r="C32" s="3" t="inlineStr">
        <is>
          <t>https://lovely-horn-db6.notion.site/3d755146449f80c0a3cce29f4f317a51?v=3d755146449f802ba9a4000c451a72db</t>
        </is>
      </c>
    </row>
    <row r="33">
      <c r="A33" s="3" t="inlineStr">
        <is>
          <t>Huancayo | ZONA DE FOTOCOPIADO</t>
        </is>
      </c>
      <c r="B33" s="3" t="inlineStr">
        <is>
          <t xml:space="preserve">100 </t>
        </is>
      </c>
      <c r="C33" s="3" t="inlineStr">
        <is>
          <t>https://lovely-horn-db6.notion.site/3d755146449f80c0a3cce29f4f317a51?v=3d755146449f802ba9a4000c451a72db</t>
        </is>
      </c>
    </row>
    <row r="34">
      <c r="A34" s="3" t="inlineStr">
        <is>
          <t>Huancayo | CAFETERÍA CONCESIONARIO</t>
        </is>
      </c>
      <c r="B34" s="3" t="inlineStr">
        <is>
          <t xml:space="preserve">64 </t>
        </is>
      </c>
      <c r="C34" s="3" t="inlineStr">
        <is>
          <t>https://lovely-horn-db6.notion.site/3d755146449f80c0a3cce29f4f317a51?v=3d755146449f802ba9a4000c451a72db</t>
        </is>
      </c>
    </row>
    <row r="35">
      <c r="A35" s="3" t="inlineStr">
        <is>
          <t>Huancayo | CAFETERÍA CAMPUS</t>
        </is>
      </c>
      <c r="B35" s="3" t="inlineStr">
        <is>
          <t xml:space="preserve">100 </t>
        </is>
      </c>
      <c r="C35" s="3" t="inlineStr">
        <is>
          <t>https://lovely-horn-db6.notion.site/3d755146449f80c0a3cce29f4f317a51?v=3d755146449f802ba9a4000c451a72db</t>
        </is>
      </c>
    </row>
    <row r="36">
      <c r="A36" s="3" t="inlineStr">
        <is>
          <t>Chimbote | ÁREAS DE ESPARCIMIENTO</t>
        </is>
      </c>
      <c r="B36" s="3" t="inlineStr">
        <is>
          <t xml:space="preserve">0 </t>
        </is>
      </c>
      <c r="C36" s="3" t="inlineStr">
        <is>
          <t>https://lovely-horn-db6.notion.site/3d755146449f80c0a3cce29f4f317a51?v=3d755146449f802ba9a4000c451a72db</t>
        </is>
      </c>
    </row>
    <row r="37">
      <c r="A37" s="3" t="inlineStr">
        <is>
          <t>Chimbote | ZONA DE FOTOCOPIADO</t>
        </is>
      </c>
      <c r="B37" s="3" t="inlineStr">
        <is>
          <t xml:space="preserve">100 </t>
        </is>
      </c>
      <c r="C37" s="3" t="inlineStr">
        <is>
          <t>https://lovely-horn-db6.notion.site/3d755146449f80c0a3cce29f4f317a51?v=3d755146449f802ba9a4000c451a72db</t>
        </is>
      </c>
    </row>
    <row r="38">
      <c r="A38" s="3" t="inlineStr">
        <is>
          <t>Chimbote | CAFETERÍA CONCESIONARIO</t>
        </is>
      </c>
      <c r="B38" s="3" t="inlineStr">
        <is>
          <t xml:space="preserve">100 </t>
        </is>
      </c>
      <c r="C38" s="3" t="inlineStr">
        <is>
          <t>https://lovely-horn-db6.notion.site/3d755146449f80c0a3cce29f4f317a51?v=3d755146449f802ba9a4000c451a72db</t>
        </is>
      </c>
    </row>
    <row r="39">
      <c r="A39" s="3" t="inlineStr">
        <is>
          <t>Chimbote | CAFETERÍA CAMPUS</t>
        </is>
      </c>
      <c r="B39" s="3" t="inlineStr">
        <is>
          <t xml:space="preserve">100 </t>
        </is>
      </c>
      <c r="C39" s="3" t="inlineStr">
        <is>
          <t>https://lovely-horn-db6.notion.site/3d755146449f80c0a3cce29f4f317a51?v=3d755146449f802ba9a4000c451a72db</t>
        </is>
      </c>
    </row>
    <row r="40">
      <c r="A40" s="3" t="inlineStr">
        <is>
          <t>Chiclayo | ÁREAS DE ESPARCIMIENTO</t>
        </is>
      </c>
      <c r="B40" s="3" t="inlineStr">
        <is>
          <t xml:space="preserve">78 </t>
        </is>
      </c>
      <c r="C40" s="3" t="inlineStr">
        <is>
          <t>https://lovely-horn-db6.notion.site/3d755146449f80c0a3cce29f4f317a51?v=3d755146449f802ba9a4000c451a72db</t>
        </is>
      </c>
    </row>
    <row r="41">
      <c r="A41" s="3" t="inlineStr">
        <is>
          <t>Chiclayo | ZONA DE FOTOCOPIADO</t>
        </is>
      </c>
      <c r="B41" s="3" t="inlineStr">
        <is>
          <t xml:space="preserve">0 </t>
        </is>
      </c>
      <c r="C41" s="3" t="inlineStr">
        <is>
          <t>https://lovely-horn-db6.notion.site/3d755146449f80c0a3cce29f4f317a51?v=3d755146449f802ba9a4000c451a72db</t>
        </is>
      </c>
    </row>
    <row r="42">
      <c r="A42" s="3" t="inlineStr">
        <is>
          <t>Chiclayo | CAFETERÍA CONCESIONARIO</t>
        </is>
      </c>
      <c r="B42" s="3" t="inlineStr">
        <is>
          <t xml:space="preserve">91 </t>
        </is>
      </c>
      <c r="C42" s="3" t="inlineStr">
        <is>
          <t>https://lovely-horn-db6.notion.site/3d755146449f80c0a3cce29f4f317a51?v=3d755146449f802ba9a4000c451a72db</t>
        </is>
      </c>
    </row>
    <row r="43">
      <c r="A43" s="3" t="inlineStr">
        <is>
          <t>Ate | ÁREAS DE ESPARCIMIENTO</t>
        </is>
      </c>
      <c r="B43" s="3" t="inlineStr">
        <is>
          <t xml:space="preserve">54 </t>
        </is>
      </c>
      <c r="C43" s="3" t="inlineStr">
        <is>
          <t>https://lovely-horn-db6.notion.site/3d755146449f80c0a3cce29f4f317a51?v=3d755146449f802ba9a4000c451a72db</t>
        </is>
      </c>
    </row>
    <row r="44">
      <c r="A44" s="3" t="inlineStr">
        <is>
          <t>Ate | ZONA DE FOTOCOPIADO</t>
        </is>
      </c>
      <c r="B44" s="3" t="inlineStr">
        <is>
          <t xml:space="preserve">100 </t>
        </is>
      </c>
      <c r="C44" s="3" t="inlineStr">
        <is>
          <t>https://lovely-horn-db6.notion.site/3d755146449f80c0a3cce29f4f317a51?v=3d755146449f802ba9a4000c451a72db</t>
        </is>
      </c>
    </row>
    <row r="45">
      <c r="A45" s="3" t="inlineStr">
        <is>
          <t>Ate | CAFETERÍA CONCESIONARIO</t>
        </is>
      </c>
      <c r="B45" s="3" t="inlineStr">
        <is>
          <t xml:space="preserve">100 </t>
        </is>
      </c>
      <c r="C45" s="3" t="inlineStr">
        <is>
          <t>https://lovely-horn-db6.notion.site/3d755146449f80c0a3cce29f4f317a51?v=3d755146449f802ba9a4000c451a72db</t>
        </is>
      </c>
    </row>
    <row r="46">
      <c r="A46" s="3" t="inlineStr">
        <is>
          <t>Arequipa Tacna y Arica | ÁREAS DE ESPARCIMIENTO</t>
        </is>
      </c>
      <c r="B46" s="3" t="inlineStr">
        <is>
          <t xml:space="preserve">30 </t>
        </is>
      </c>
      <c r="C46" s="3" t="inlineStr">
        <is>
          <t>https://lovely-horn-db6.notion.site/3d755146449f80c0a3cce29f4f317a51?v=3d755146449f802ba9a4000c451a72db</t>
        </is>
      </c>
    </row>
    <row r="47">
      <c r="A47" s="3" t="inlineStr">
        <is>
          <t>Arequipa Tacna y Arica | ZONA DE FOTOCOPIADO</t>
        </is>
      </c>
      <c r="B47" s="3" t="inlineStr">
        <is>
          <t xml:space="preserve">0 </t>
        </is>
      </c>
      <c r="C47" s="3" t="inlineStr">
        <is>
          <t>https://lovely-horn-db6.notion.site/3d755146449f80c0a3cce29f4f317a51?v=3d755146449f802ba9a4000c451a72db</t>
        </is>
      </c>
    </row>
    <row r="48">
      <c r="A48" s="3" t="inlineStr">
        <is>
          <t>Arequipa Tacna y Arica | CAFETERÍA CONCESIONARIO</t>
        </is>
      </c>
      <c r="B48" s="3" t="inlineStr">
        <is>
          <t xml:space="preserve">73 </t>
        </is>
      </c>
      <c r="C48" s="3" t="inlineStr">
        <is>
          <t>https://lovely-horn-db6.notion.site/3d755146449f80c0a3cce29f4f317a51?v=3d755146449f802ba9a4000c451a72db</t>
        </is>
      </c>
    </row>
    <row r="49">
      <c r="A49" s="3" t="inlineStr">
        <is>
          <t>Arequipa Tacna y Arica | CAFETERÍA CAMPUS</t>
        </is>
      </c>
      <c r="B49" s="3" t="inlineStr">
        <is>
          <t xml:space="preserve">88 </t>
        </is>
      </c>
      <c r="C49" s="3" t="inlineStr">
        <is>
          <t>https://lovely-horn-db6.notion.site/3d755146449f80c0a3cce29f4f317a51?v=3d755146449f802ba9a4000c451a72db</t>
        </is>
      </c>
    </row>
    <row r="50">
      <c r="A50" s="3" t="inlineStr">
        <is>
          <t>Arequipa Parra I | ÁREAS DE ESPARCIMIENTO</t>
        </is>
      </c>
      <c r="B50" s="3" t="inlineStr">
        <is>
          <t xml:space="preserve">55 </t>
        </is>
      </c>
      <c r="C50" s="3" t="inlineStr">
        <is>
          <t>https://lovely-horn-db6.notion.site/3d755146449f80c0a3cce29f4f317a51?v=3d755146449f802ba9a4000c451a72db</t>
        </is>
      </c>
    </row>
    <row r="51">
      <c r="A51" s="3" t="inlineStr">
        <is>
          <t>Arequipa Parra I | ZONA DE FOTOCOPIADO</t>
        </is>
      </c>
      <c r="B51" s="3" t="inlineStr">
        <is>
          <t xml:space="preserve">0 </t>
        </is>
      </c>
      <c r="C51" s="3" t="inlineStr">
        <is>
          <t>https://lovely-horn-db6.notion.site/3d755146449f80c0a3cce29f4f317a51?v=3d755146449f802ba9a4000c451a72db</t>
        </is>
      </c>
    </row>
    <row r="52">
      <c r="A52" s="3" t="inlineStr">
        <is>
          <t>Arequipa Parra I | CAFETERÍA CONCESIONARIO</t>
        </is>
      </c>
      <c r="B52" s="3" t="inlineStr">
        <is>
          <t xml:space="preserve">100 </t>
        </is>
      </c>
      <c r="C52" s="3" t="inlineStr">
        <is>
          <t>https://lovely-horn-db6.notion.site/3d755146449f80c0a3cce29f4f317a51?v=3d755146449f802ba9a4000c451a72db</t>
        </is>
      </c>
    </row>
    <row r="53">
      <c r="A53" s="3" t="inlineStr">
        <is>
          <t>Arequipa Parra I | CAFETERÍA CAMPUS</t>
        </is>
      </c>
      <c r="B53" s="3" t="inlineStr">
        <is>
          <t xml:space="preserve">100 </t>
        </is>
      </c>
      <c r="C53" s="3" t="inlineStr">
        <is>
          <t>https://lovely-horn-db6.notion.site/3d755146449f80c0a3cce29f4f317a51?v=3d755146449f802ba9a4000c451a72db</t>
        </is>
      </c>
    </row>
    <row r="54">
      <c r="A54" s="3" t="inlineStr">
        <is>
          <t>Arequipa Parra 2 | ÁREAS DE ESPARCIMIENTO</t>
        </is>
      </c>
      <c r="B54" s="3" t="inlineStr">
        <is>
          <t xml:space="preserve">14 </t>
        </is>
      </c>
      <c r="C54" s="3" t="inlineStr">
        <is>
          <t>https://lovely-horn-db6.notion.site/3d755146449f80c0a3cce29f4f317a51?v=3d755146449f802ba9a4000c451a72db</t>
        </is>
      </c>
    </row>
    <row r="55">
      <c r="A55" s="3" t="inlineStr">
        <is>
          <t>Arequipa Parra 2 | CAFETERÍA CONCESIONARIO</t>
        </is>
      </c>
      <c r="B55" s="3" t="inlineStr">
        <is>
          <t xml:space="preserve">82 </t>
        </is>
      </c>
      <c r="C55" s="3" t="inlineStr">
        <is>
          <t>https://lovely-horn-db6.notion.site/3d755146449f80c0a3cce29f4f317a51?v=3d755146449f802ba9a4000c451a72db</t>
        </is>
      </c>
    </row>
  </sheetData>
  <pageMargins left="0.75" right="0.75" top="1" bottom="1"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G19"/>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20" customWidth="1" min="5" max="5"/>
    <col width="18" customWidth="1" min="6" max="6"/>
    <col width="20" customWidth="1" min="7" max="7"/>
  </cols>
  <sheetData>
    <row r="1" ht="30" customHeight="1">
      <c r="A1" s="1" t="inlineStr">
        <is>
          <t>campus</t>
        </is>
      </c>
      <c r="B1" s="1" t="inlineStr">
        <is>
          <t>diseno_pct</t>
        </is>
      </c>
      <c r="C1" s="1" t="inlineStr">
        <is>
          <t>obra_pct</t>
        </is>
      </c>
      <c r="D1" s="1" t="inlineStr">
        <is>
          <t>operacion</t>
        </is>
      </c>
      <c r="E1" s="1" t="inlineStr">
        <is>
          <t>fecha_objetivo_texto</t>
        </is>
      </c>
      <c r="F1" s="1" t="inlineStr">
        <is>
          <t>con_observacion</t>
        </is>
      </c>
      <c r="G1" s="1" t="inlineStr">
        <is>
          <t>nueva_fecha_texto</t>
        </is>
      </c>
    </row>
    <row r="2">
      <c r="A2" s="3" t="inlineStr">
        <is>
          <t>LC – Torre Tecnológica Arequipa (I)</t>
        </is>
      </c>
      <c r="B2" s="3" t="n">
        <v>100</v>
      </c>
      <c r="C2" s="3" t="n">
        <v>100</v>
      </c>
      <c r="D2" s="3" t="inlineStr">
        <is>
          <t>Sí</t>
        </is>
      </c>
      <c r="E2" s="3" t="inlineStr">
        <is>
          <t>Mar-26</t>
        </is>
      </c>
      <c r="F2" s="3" t="inlineStr">
        <is>
          <t>No</t>
        </is>
      </c>
      <c r="G2" s="3" t="inlineStr">
        <is>
          <t>-</t>
        </is>
      </c>
    </row>
    <row r="3">
      <c r="A3" s="3" t="inlineStr">
        <is>
          <t>LC – Sede Central (I)</t>
        </is>
      </c>
      <c r="B3" s="3" t="n">
        <v>100</v>
      </c>
      <c r="C3" s="3" t="n">
        <v>100</v>
      </c>
      <c r="D3" s="3" t="inlineStr">
        <is>
          <t>Sí</t>
        </is>
      </c>
      <c r="E3" s="3" t="inlineStr">
        <is>
          <t>Mar-26</t>
        </is>
      </c>
      <c r="F3" s="3" t="inlineStr">
        <is>
          <t>Sí</t>
        </is>
      </c>
      <c r="G3" s="3" t="inlineStr">
        <is>
          <t>6/04/2026</t>
        </is>
      </c>
    </row>
    <row r="4">
      <c r="A4" s="3" t="inlineStr">
        <is>
          <t>LC – Torre II (I)</t>
        </is>
      </c>
      <c r="B4" s="3" t="n">
        <v>100</v>
      </c>
      <c r="C4" s="3" t="n">
        <v>100</v>
      </c>
      <c r="D4" s="3" t="inlineStr">
        <is>
          <t>Sí</t>
        </is>
      </c>
      <c r="E4" s="3" t="inlineStr">
        <is>
          <t>Mar-26</t>
        </is>
      </c>
      <c r="F4" s="3" t="inlineStr">
        <is>
          <t>No</t>
        </is>
      </c>
      <c r="G4" s="3" t="inlineStr">
        <is>
          <t>-</t>
        </is>
      </c>
    </row>
    <row r="5">
      <c r="A5" s="3" t="inlineStr">
        <is>
          <t>LS – Piso 1 (I)</t>
        </is>
      </c>
      <c r="B5" s="3" t="n">
        <v>100</v>
      </c>
      <c r="C5" s="3" t="n">
        <v>100</v>
      </c>
      <c r="D5" s="3" t="inlineStr">
        <is>
          <t>Sí</t>
        </is>
      </c>
      <c r="E5" s="3" t="inlineStr">
        <is>
          <t>Mar-26</t>
        </is>
      </c>
      <c r="F5" s="3" t="inlineStr">
        <is>
          <t>No</t>
        </is>
      </c>
      <c r="G5" s="3" t="inlineStr">
        <is>
          <t>-</t>
        </is>
      </c>
    </row>
    <row r="6">
      <c r="A6" s="3" t="inlineStr">
        <is>
          <t>LS – Piso 10 (I)</t>
        </is>
      </c>
      <c r="B6" s="3" t="n">
        <v>100</v>
      </c>
      <c r="C6" s="3" t="n">
        <v>100</v>
      </c>
      <c r="D6" s="3" t="inlineStr">
        <is>
          <t>Sí</t>
        </is>
      </c>
      <c r="E6" s="3" t="inlineStr">
        <is>
          <t>Mar-26</t>
        </is>
      </c>
      <c r="F6" s="3" t="inlineStr">
        <is>
          <t>No</t>
        </is>
      </c>
      <c r="G6" s="3" t="inlineStr">
        <is>
          <t>-</t>
        </is>
      </c>
    </row>
    <row r="7">
      <c r="A7" s="3" t="inlineStr">
        <is>
          <t>Ica (I)</t>
        </is>
      </c>
      <c r="B7" s="3" t="n">
        <v>100</v>
      </c>
      <c r="C7" s="3" t="n">
        <v>100</v>
      </c>
      <c r="D7" s="3" t="inlineStr">
        <is>
          <t>Sí</t>
        </is>
      </c>
      <c r="E7" s="3" t="inlineStr">
        <is>
          <t>Mar-26</t>
        </is>
      </c>
      <c r="F7" s="3" t="inlineStr">
        <is>
          <t>No</t>
        </is>
      </c>
      <c r="G7" s="3" t="inlineStr">
        <is>
          <t>-</t>
        </is>
      </c>
    </row>
    <row r="8">
      <c r="A8" s="3" t="inlineStr">
        <is>
          <t>Arequipa – Tacna y Arica (I)</t>
        </is>
      </c>
      <c r="B8" s="3" t="n">
        <v>100</v>
      </c>
      <c r="C8" s="3" t="n">
        <v>100</v>
      </c>
      <c r="D8" s="3" t="inlineStr">
        <is>
          <t>Sí</t>
        </is>
      </c>
      <c r="E8" s="3" t="inlineStr">
        <is>
          <t>Mar-26</t>
        </is>
      </c>
      <c r="F8" s="3" t="inlineStr">
        <is>
          <t>No</t>
        </is>
      </c>
      <c r="G8" s="3" t="inlineStr">
        <is>
          <t>-</t>
        </is>
      </c>
    </row>
    <row r="9">
      <c r="A9" s="3" t="inlineStr">
        <is>
          <t>LC – Pacífico (II)</t>
        </is>
      </c>
      <c r="B9" s="3" t="n">
        <v>100</v>
      </c>
      <c r="C9" s="3" t="n">
        <v>100</v>
      </c>
      <c r="D9" s="3" t="inlineStr">
        <is>
          <t>Sí</t>
        </is>
      </c>
      <c r="E9" s="3" t="inlineStr">
        <is>
          <t>Mar-26</t>
        </is>
      </c>
      <c r="F9" s="3" t="inlineStr">
        <is>
          <t>Sí</t>
        </is>
      </c>
      <c r="G9" s="3" t="inlineStr">
        <is>
          <t>13/04/2026</t>
        </is>
      </c>
    </row>
    <row r="10">
      <c r="A10" s="3" t="inlineStr">
        <is>
          <t>SJL (II)</t>
        </is>
      </c>
      <c r="B10" s="3" t="n">
        <v>100</v>
      </c>
      <c r="C10" s="3" t="n">
        <v>100</v>
      </c>
      <c r="D10" s="3" t="inlineStr">
        <is>
          <t>Sí</t>
        </is>
      </c>
      <c r="E10" s="3" t="inlineStr">
        <is>
          <t>Mar-26</t>
        </is>
      </c>
      <c r="F10" s="3" t="inlineStr">
        <is>
          <t>Sí</t>
        </is>
      </c>
      <c r="G10" s="3" t="inlineStr">
        <is>
          <t>30/03/2026</t>
        </is>
      </c>
    </row>
    <row r="11">
      <c r="A11" s="3" t="inlineStr">
        <is>
          <t>Arequipa – Parra 2 (II)</t>
        </is>
      </c>
      <c r="B11" s="3" t="n">
        <v>100</v>
      </c>
      <c r="C11" s="3" t="n">
        <v>100</v>
      </c>
      <c r="D11" s="3" t="inlineStr">
        <is>
          <t>Sí</t>
        </is>
      </c>
      <c r="E11" s="3" t="inlineStr">
        <is>
          <t>Mar-26</t>
        </is>
      </c>
      <c r="F11" s="3" t="inlineStr">
        <is>
          <t>Sí</t>
        </is>
      </c>
      <c r="G11" s="3" t="inlineStr">
        <is>
          <t>30/03/2026</t>
        </is>
      </c>
    </row>
    <row r="12">
      <c r="A12" s="3" t="inlineStr">
        <is>
          <t>Trujillo (II)</t>
        </is>
      </c>
      <c r="B12" s="3" t="n">
        <v>100</v>
      </c>
      <c r="C12" s="3" t="n">
        <v>100</v>
      </c>
      <c r="D12" s="3" t="inlineStr">
        <is>
          <t>Sí</t>
        </is>
      </c>
      <c r="E12" s="3" t="inlineStr">
        <is>
          <t>Jun-26</t>
        </is>
      </c>
      <c r="F12" s="3" t="inlineStr">
        <is>
          <t>No</t>
        </is>
      </c>
      <c r="G12" s="3" t="inlineStr">
        <is>
          <t>-</t>
        </is>
      </c>
    </row>
    <row r="13">
      <c r="A13" s="3" t="inlineStr">
        <is>
          <t>Lima Norte (II) – Pendiente</t>
        </is>
      </c>
      <c r="B13" s="3" t="n">
        <v>100</v>
      </c>
      <c r="C13" s="3" t="n">
        <v>0</v>
      </c>
      <c r="D13" s="3" t="inlineStr">
        <is>
          <t>-</t>
        </is>
      </c>
      <c r="E13" s="3" t="inlineStr">
        <is>
          <t>-</t>
        </is>
      </c>
      <c r="F13" s="3" t="inlineStr">
        <is>
          <t>-</t>
        </is>
      </c>
      <c r="G13" s="3" t="inlineStr">
        <is>
          <t>-</t>
        </is>
      </c>
    </row>
    <row r="14">
      <c r="A14" s="3" t="inlineStr">
        <is>
          <t>Chiclayo (II)</t>
        </is>
      </c>
      <c r="B14" s="3" t="n">
        <v>100</v>
      </c>
      <c r="C14" s="3" t="n">
        <v>0</v>
      </c>
      <c r="D14" s="3" t="inlineStr">
        <is>
          <t>-</t>
        </is>
      </c>
      <c r="E14" s="3" t="inlineStr">
        <is>
          <t>Oct-26</t>
        </is>
      </c>
      <c r="F14" s="3" t="inlineStr">
        <is>
          <t>-</t>
        </is>
      </c>
      <c r="G14" s="3" t="inlineStr">
        <is>
          <t>-</t>
        </is>
      </c>
    </row>
    <row r="15">
      <c r="A15" s="3" t="inlineStr">
        <is>
          <t>ATE (II)</t>
        </is>
      </c>
      <c r="B15" s="3" t="n">
        <v>100</v>
      </c>
      <c r="C15" s="3" t="n">
        <v>40</v>
      </c>
      <c r="D15" s="3" t="inlineStr">
        <is>
          <t>-</t>
        </is>
      </c>
      <c r="E15" s="3" t="inlineStr">
        <is>
          <t>Oct-26</t>
        </is>
      </c>
      <c r="F15" s="3" t="inlineStr"/>
      <c r="G15" s="3" t="inlineStr"/>
    </row>
    <row r="16">
      <c r="A16" s="3" t="inlineStr">
        <is>
          <t>Pucallpa (III)</t>
        </is>
      </c>
      <c r="B16" s="3" t="n">
        <v>100</v>
      </c>
      <c r="C16" s="3" t="n">
        <v>0</v>
      </c>
      <c r="D16" s="3" t="inlineStr">
        <is>
          <t>-</t>
        </is>
      </c>
      <c r="E16" s="3" t="inlineStr">
        <is>
          <t>Nov-26</t>
        </is>
      </c>
      <c r="F16" s="3" t="inlineStr">
        <is>
          <t>-</t>
        </is>
      </c>
      <c r="G16" s="3" t="inlineStr">
        <is>
          <t>-</t>
        </is>
      </c>
    </row>
    <row r="17">
      <c r="A17" s="3" t="inlineStr">
        <is>
          <t>Iquitos (III)</t>
        </is>
      </c>
      <c r="B17" s="3" t="n">
        <v>90</v>
      </c>
      <c r="C17" s="3" t="n">
        <v>0</v>
      </c>
      <c r="D17" s="3" t="inlineStr">
        <is>
          <t>-</t>
        </is>
      </c>
      <c r="E17" s="3" t="inlineStr">
        <is>
          <t>Nov-26</t>
        </is>
      </c>
      <c r="F17" s="3" t="inlineStr">
        <is>
          <t>-</t>
        </is>
      </c>
      <c r="G17" s="3" t="inlineStr">
        <is>
          <t>-</t>
        </is>
      </c>
    </row>
    <row r="18">
      <c r="A18" s="3" t="inlineStr">
        <is>
          <t>Chimbote (III)</t>
        </is>
      </c>
      <c r="B18" s="3" t="n">
        <v>100</v>
      </c>
      <c r="C18" s="3" t="n">
        <v>0</v>
      </c>
      <c r="D18" s="3" t="inlineStr">
        <is>
          <t>-</t>
        </is>
      </c>
      <c r="E18" s="3" t="inlineStr">
        <is>
          <t>Nov-26</t>
        </is>
      </c>
      <c r="F18" s="3" t="inlineStr">
        <is>
          <t>-</t>
        </is>
      </c>
      <c r="G18" s="3" t="inlineStr">
        <is>
          <t>-</t>
        </is>
      </c>
    </row>
    <row r="19">
      <c r="A19" s="3" t="inlineStr">
        <is>
          <t>Resto de campus (IV)</t>
        </is>
      </c>
      <c r="B19" s="3" t="n">
        <v>0</v>
      </c>
      <c r="C19" s="3" t="n">
        <v>0</v>
      </c>
      <c r="D19" s="3" t="inlineStr">
        <is>
          <t>-</t>
        </is>
      </c>
      <c r="E19" s="3" t="inlineStr">
        <is>
          <t>-</t>
        </is>
      </c>
      <c r="F19" s="3" t="inlineStr">
        <is>
          <t>-</t>
        </is>
      </c>
      <c r="G19" s="3" t="inlineStr">
        <is>
          <t>-</t>
        </is>
      </c>
    </row>
  </sheetData>
  <pageMargins left="0.75" right="0.75" top="1" bottom="1"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AP300"/>
  <sheetViews>
    <sheetView showGridLines="0" workbookViewId="0">
      <pane ySplit="6" topLeftCell="A7" activePane="bottomLeft" state="frozen"/>
      <selection pane="bottomLeft" activeCell="A1" sqref="A1"/>
    </sheetView>
  </sheetViews>
  <sheetFormatPr baseColWidth="8" defaultRowHeight="15"/>
  <cols>
    <col width="11.44140625" customWidth="1" min="1" max="1"/>
    <col width="13" customWidth="1" min="2" max="2"/>
    <col width="22.44140625" customWidth="1" min="3" max="3"/>
    <col width="32" customWidth="1" min="4" max="4"/>
    <col width="11.88671875" customWidth="1" min="5" max="5"/>
    <col width="11.88671875" customWidth="1" min="6" max="6"/>
    <col width="32" customWidth="1" min="7" max="7"/>
    <col width="32" customWidth="1" min="8" max="8"/>
    <col width="32" customWidth="1" min="9" max="9"/>
    <col width="31.44140625" customWidth="1" min="10" max="10"/>
    <col width="14" customWidth="1" min="11" max="11"/>
    <col width="14" customWidth="1" min="12" max="12"/>
    <col width="13" customWidth="1" min="13" max="13"/>
    <col width="13" customWidth="1" min="14" max="14"/>
    <col width="13" customWidth="1" min="15" max="15"/>
    <col width="10" customWidth="1" min="16" max="16"/>
    <col width="14" customWidth="1" min="17" max="17"/>
    <col width="30.44140625" customWidth="1" min="18" max="18"/>
    <col width="11.44140625" customWidth="1" min="19" max="19"/>
    <col width="32" customWidth="1" min="20" max="20"/>
    <col width="14.33203125" customWidth="1" min="21" max="21"/>
    <col width="14.33203125" customWidth="1" min="22" max="22"/>
    <col width="14.33203125" customWidth="1" min="23" max="23"/>
    <col width="14.33203125" customWidth="1" min="24" max="24"/>
    <col width="13.33203125" customWidth="1" min="25" max="25"/>
    <col width="14.33203125" customWidth="1" min="26" max="26"/>
    <col width="14.33203125" customWidth="1" min="27" max="27"/>
    <col width="23.5546875" customWidth="1" min="28" max="28"/>
    <col width="11.44140625" customWidth="1" min="29" max="29"/>
    <col width="32" customWidth="1" min="30" max="30"/>
    <col width="32" customWidth="1" min="31" max="31"/>
    <col width="18" customWidth="1" min="32" max="32"/>
    <col width="32" customWidth="1" min="33" max="33"/>
    <col width="21.33203125" customWidth="1" min="34" max="34"/>
    <col width="14.109375" customWidth="1" min="35" max="35"/>
    <col width="32" customWidth="1" min="36" max="36"/>
    <col width="16.109375" customWidth="1" min="37" max="37"/>
    <col width="13.6640625" customWidth="1" min="38" max="38"/>
    <col width="32" customWidth="1" min="39" max="39"/>
    <col width="11.44140625" customWidth="1" min="40" max="40"/>
    <col width="20.33203125" customWidth="1" min="41" max="41"/>
    <col width="10" customWidth="1" min="42" max="42"/>
  </cols>
  <sheetData>
    <row r="1">
      <c r="B1" s="3" t="n">
        <v>5518026</v>
      </c>
      <c r="C1" s="3" t="inlineStr">
        <is>
          <t>PPTO OPS</t>
        </is>
      </c>
      <c r="D1" s="3">
        <f>+SUM(U7:U107)</f>
        <v/>
      </c>
      <c r="F1" s="3">
        <f>B1-D1</f>
        <v/>
      </c>
    </row>
    <row r="2">
      <c r="B2" s="3" t="n">
        <v>3192205</v>
      </c>
      <c r="C2" s="3" t="inlineStr">
        <is>
          <t>PPTO SSGG</t>
        </is>
      </c>
      <c r="D2" s="3">
        <f>+SUM(U108:U300)</f>
        <v/>
      </c>
      <c r="F2" s="3">
        <f>B2-D2</f>
        <v/>
      </c>
      <c r="R2" s="3" t="n">
        <v>8710231</v>
      </c>
      <c r="T2" s="3" t="n">
        <v>106806.94</v>
      </c>
    </row>
    <row r="3">
      <c r="B3" s="3" t="n">
        <v>8710231</v>
      </c>
      <c r="C3" s="3" t="inlineStr">
        <is>
          <t>TOTAL PPTO</t>
        </is>
      </c>
      <c r="D3" s="3">
        <f>+D1+D2</f>
        <v/>
      </c>
      <c r="F3" s="3">
        <f>B3-D3</f>
        <v/>
      </c>
    </row>
    <row r="4">
      <c r="C4" s="3" t="inlineStr">
        <is>
          <t>TOTAL EJECUTADO</t>
        </is>
      </c>
      <c r="D4" s="3">
        <f>+SUM(V7:V300)</f>
        <v/>
      </c>
      <c r="R4" s="3">
        <f>R2-D3</f>
        <v/>
      </c>
      <c r="T4" s="3">
        <f>R2+T2</f>
        <v/>
      </c>
    </row>
    <row r="6" ht="45" customHeight="1">
      <c r="A6" s="1" t="inlineStr">
        <is>
          <t>#</t>
        </is>
      </c>
      <c r="B6" s="1" t="inlineStr">
        <is>
          <t>ID</t>
        </is>
      </c>
      <c r="C6" s="1" t="inlineStr">
        <is>
          <t>ORIGEN2</t>
        </is>
      </c>
      <c r="D6" s="1" t="inlineStr">
        <is>
          <t>RESPONSABLE DEL
 PROYECTO</t>
        </is>
      </c>
      <c r="E6" s="1" t="inlineStr">
        <is>
          <t>RESPONSABLE DEL
 PROYECTO2</t>
        </is>
      </c>
      <c r="F6" s="1" t="inlineStr">
        <is>
          <t>CORREO</t>
        </is>
      </c>
      <c r="G6" s="1" t="inlineStr">
        <is>
          <t>TELÉFONO</t>
        </is>
      </c>
      <c r="H6" s="1" t="inlineStr">
        <is>
          <t>Columna1</t>
        </is>
      </c>
      <c r="I6" s="1" t="inlineStr">
        <is>
          <t>BREVE DESCRIPCIÓN  DEL PROYECTO</t>
        </is>
      </c>
      <c r="J6" s="1" t="inlineStr">
        <is>
          <t>LINK VIDEO / FOTOS</t>
        </is>
      </c>
      <c r="K6" s="1" t="inlineStr">
        <is>
          <t>ESTADO INICAL
 DE APROBACIÓN</t>
        </is>
      </c>
      <c r="L6" s="1" t="inlineStr">
        <is>
          <t>PUNTAJE PRIORIDAD</t>
        </is>
      </c>
      <c r="M6" s="1" t="inlineStr">
        <is>
          <t xml:space="preserve">IMPACTO SERVICIO AL ALUMNO </t>
        </is>
      </c>
      <c r="N6" s="1" t="inlineStr">
        <is>
          <t>IMPACTO IMAGEN / REPUTACIÓN</t>
        </is>
      </c>
      <c r="O6" s="1" t="inlineStr">
        <is>
          <t>IMPACTO EN OPERACIÓN</t>
        </is>
      </c>
      <c r="P6" s="1" t="inlineStr">
        <is>
          <t>COMENTARIOS DE
 INFRAESTRUCTURA</t>
        </is>
      </c>
      <c r="Q6" s="1" t="inlineStr">
        <is>
          <t>TIENE
 PRESUPUESTO</t>
        </is>
      </c>
      <c r="R6" s="1" t="inlineStr">
        <is>
          <t>CAMPUS</t>
        </is>
      </c>
      <c r="S6" s="1" t="inlineStr">
        <is>
          <t>UE</t>
        </is>
      </c>
      <c r="T6" s="1" t="inlineStr">
        <is>
          <t>UBICACIÓN PROYECTO (UE)</t>
        </is>
      </c>
      <c r="U6" s="1" t="inlineStr">
        <is>
          <t>MONTO INVERSIÓN DEL PROYECTO
(INC IGV)</t>
        </is>
      </c>
      <c r="V6" s="1" t="inlineStr">
        <is>
          <t>MONTO EJECUTADO DEL PROYECTO
(INC IGV)</t>
        </is>
      </c>
      <c r="W6" s="1" t="inlineStr">
        <is>
          <t>PRIORIDAD</t>
        </is>
      </c>
      <c r="X6" s="1" t="inlineStr">
        <is>
          <t>FECHA INICIO
PLANIFICADA</t>
        </is>
      </c>
      <c r="Y6" s="1" t="inlineStr">
        <is>
          <t>FECHA FIN
PLANIFICADA</t>
        </is>
      </c>
      <c r="Z6" s="1" t="inlineStr">
        <is>
          <t>FECHA INICIO 
REAL</t>
        </is>
      </c>
      <c r="AA6" s="1" t="inlineStr">
        <is>
          <t>FECHA FIN
REAL</t>
        </is>
      </c>
      <c r="AB6" s="1" t="inlineStr">
        <is>
          <t>ESTADO
PROYECTO
OPERATIVO</t>
        </is>
      </c>
      <c r="AC6" s="1" t="inlineStr">
        <is>
          <t>ESTADO
PROYECTO
FINANCIERO</t>
        </is>
      </c>
      <c r="AD6" s="1" t="inlineStr">
        <is>
          <t>EJECUTOR</t>
        </is>
      </c>
      <c r="AE6" s="1" t="inlineStr">
        <is>
          <t>SC</t>
        </is>
      </c>
      <c r="AF6" s="1" t="inlineStr">
        <is>
          <t>FECHA INGRESO SC</t>
        </is>
      </c>
      <c r="AG6" s="1" t="inlineStr">
        <is>
          <t>OC</t>
        </is>
      </c>
      <c r="AH6" s="1" t="inlineStr">
        <is>
          <t>FECHA GENERACIÓN OC</t>
        </is>
      </c>
      <c r="AI6" s="1" t="inlineStr">
        <is>
          <t>CÓDIGO</t>
        </is>
      </c>
      <c r="AJ6" s="1" t="inlineStr">
        <is>
          <t>DESCRIPCIÓN PROYECTO</t>
        </is>
      </c>
      <c r="AK6" s="1" t="inlineStr">
        <is>
          <t>FECHA ATENCIÓN</t>
        </is>
      </c>
      <c r="AL6" s="1" t="inlineStr">
        <is>
          <t>ATENDIDO POR</t>
        </is>
      </c>
      <c r="AM6" s="1" t="inlineStr">
        <is>
          <t>Comentario</t>
        </is>
      </c>
      <c r="AN6" s="1" t="inlineStr">
        <is>
          <t>EFICIENCIA</t>
        </is>
      </c>
      <c r="AO6" s="1" t="inlineStr">
        <is>
          <t>Comentarios Eloy</t>
        </is>
      </c>
      <c r="AP6" s="1" t="inlineStr">
        <is>
          <t>Caso</t>
        </is>
      </c>
    </row>
    <row r="7">
      <c r="A7" s="3" t="n">
        <v>1</v>
      </c>
      <c r="B7" s="3" t="inlineStr">
        <is>
          <t>OPS_001</t>
        </is>
      </c>
      <c r="C7" s="3" t="inlineStr">
        <is>
          <t>OPS</t>
        </is>
      </c>
      <c r="D7" s="3" t="inlineStr">
        <is>
          <t>Nestor Silva</t>
        </is>
      </c>
      <c r="H7" s="3" t="inlineStr">
        <is>
          <t xml:space="preserve">ACONDICIONAR AMBIENTE AL COSTADO DE TOPICO EN TORREB PARA QUE SEA  KITCHENET DOCENTE </t>
        </is>
      </c>
      <c r="I7" s="3" t="inlineStr">
        <is>
          <t xml:space="preserve">TORRE B NO TIENE ESPACIOS PARA DOCENTES (CAD KITCHENET), UTILIZAR EL ESPACIO DE LA OFICINA CONTIGUA AL TÓPICOQUE SE ENCUENTRA VACÍA COMO KITCHENNETTE PARA DOCENTES </t>
        </is>
      </c>
      <c r="J7" s="3" t="inlineStr">
        <is>
          <t>https://www,dropbox,com/scl/fo/t8a94dgffyjikmjdnamuh/ADI5WDjY4ELz_kWRkOXgTm8?rlkey=dtm5fyuuwarbzrhs4wqefssqt&amp;dl=0</t>
        </is>
      </c>
      <c r="K7" s="3" t="inlineStr">
        <is>
          <t>OK</t>
        </is>
      </c>
      <c r="L7" s="3">
        <f>SUM(M7:O7)</f>
        <v/>
      </c>
      <c r="M7" s="3" t="n">
        <v>1</v>
      </c>
      <c r="N7" s="3" t="n">
        <v>5</v>
      </c>
      <c r="O7" s="3" t="n">
        <v>3</v>
      </c>
      <c r="P7" s="3" t="inlineStr">
        <is>
          <t>OK para evaluar</t>
        </is>
      </c>
      <c r="Q7" s="3" t="inlineStr">
        <is>
          <t>SI</t>
        </is>
      </c>
      <c r="R7" s="3" t="inlineStr">
        <is>
          <t>UTP SJL</t>
        </is>
      </c>
      <c r="S7" s="3" t="n">
        <v>10220110</v>
      </c>
      <c r="T7" s="3" t="inlineStr">
        <is>
          <t>UTP AV,SOL SUB LT 13B MZG SJL - LIMA</t>
        </is>
      </c>
      <c r="U7" s="3" t="n">
        <v>25000</v>
      </c>
      <c r="V7" s="3" t="n">
        <v>25000</v>
      </c>
      <c r="W7" s="3" t="inlineStr">
        <is>
          <t>B</t>
        </is>
      </c>
      <c r="X7" s="4" t="n">
        <v>46235</v>
      </c>
      <c r="Y7" s="4" t="n">
        <v>46264</v>
      </c>
      <c r="Z7" s="6" t="n"/>
      <c r="AA7" s="6" t="n"/>
      <c r="AB7" s="3" t="inlineStr">
        <is>
          <t>EJECUTADO</t>
        </is>
      </c>
      <c r="AD7" s="3" t="inlineStr">
        <is>
          <t>Infraestructura</t>
        </is>
      </c>
      <c r="AI7" s="3" t="inlineStr">
        <is>
          <t>PROY1430</t>
        </is>
      </c>
      <c r="AM7" s="3" t="inlineStr">
        <is>
          <t>Consultar con Infraestructura</t>
        </is>
      </c>
    </row>
    <row r="8">
      <c r="A8" s="3" t="n">
        <v>2</v>
      </c>
      <c r="B8" s="3" t="inlineStr">
        <is>
          <t>OPS_002</t>
        </is>
      </c>
      <c r="C8" s="3" t="inlineStr">
        <is>
          <t>OPS</t>
        </is>
      </c>
      <c r="D8" s="3" t="inlineStr">
        <is>
          <t xml:space="preserve">VICENTE CAYETANO RODRIGUEZ PASTOR </t>
        </is>
      </c>
      <c r="F8" s="3" t="inlineStr">
        <is>
          <t>vrodriguep@utp,edu,pe</t>
        </is>
      </c>
      <c r="G8" s="3" t="inlineStr">
        <is>
          <t>955 141 444</t>
        </is>
      </c>
      <c r="H8" s="3" t="inlineStr">
        <is>
          <t>Ampliación de la oficina de TI</t>
        </is>
      </c>
      <c r="I8" s="3" t="inlineStr">
        <is>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is>
      </c>
      <c r="J8" s="3" t="inlineStr">
        <is>
          <t>Proyectos CAPEX_PIURA - Dropbox</t>
        </is>
      </c>
      <c r="K8" s="3" t="inlineStr">
        <is>
          <t>OK</t>
        </is>
      </c>
      <c r="L8" s="3">
        <f>SUM(M8:O8)</f>
        <v/>
      </c>
      <c r="M8" s="3" t="n">
        <v>1</v>
      </c>
      <c r="N8" s="3" t="n">
        <v>3</v>
      </c>
      <c r="O8" s="3" t="n">
        <v>5</v>
      </c>
      <c r="Q8" s="3" t="inlineStr">
        <is>
          <t>SI</t>
        </is>
      </c>
      <c r="R8" s="3" t="inlineStr">
        <is>
          <t>UTP Piura</t>
        </is>
      </c>
      <c r="S8" s="3" t="n">
        <v>70170101</v>
      </c>
      <c r="T8" s="3" t="inlineStr">
        <is>
          <t>UTP AV,PANAMERICANA 234 -PIURA</t>
        </is>
      </c>
      <c r="U8" s="3" t="n">
        <v>20000</v>
      </c>
      <c r="V8" s="3" t="n">
        <v>9700</v>
      </c>
      <c r="W8" s="3" t="inlineStr">
        <is>
          <t>B</t>
        </is>
      </c>
      <c r="X8" s="4" t="n">
        <v>46082</v>
      </c>
      <c r="Y8" s="4" t="n">
        <v>46111</v>
      </c>
      <c r="Z8" s="4" t="n">
        <v>46082</v>
      </c>
      <c r="AA8" s="4" t="n">
        <v>46111</v>
      </c>
      <c r="AB8" s="3" t="inlineStr">
        <is>
          <t>EJECUTADO</t>
        </is>
      </c>
      <c r="AC8" s="3" t="inlineStr">
        <is>
          <t>EJECUTADO</t>
        </is>
      </c>
      <c r="AD8" s="3" t="inlineStr">
        <is>
          <t>Mantenimiento</t>
        </is>
      </c>
      <c r="AE8" s="3" t="inlineStr">
        <is>
          <t>SC-0000116696-2026</t>
        </is>
      </c>
      <c r="AF8" s="7" t="n">
        <v>46063</v>
      </c>
      <c r="AG8" s="3" t="inlineStr">
        <is>
          <t>OC-0000122809-2026</t>
        </is>
      </c>
      <c r="AH8" s="7" t="n">
        <v>46086</v>
      </c>
      <c r="AI8" s="3" t="inlineStr">
        <is>
          <t>MEJ00183</t>
        </is>
      </c>
      <c r="AJ8" s="3" t="inlineStr">
        <is>
          <t>UTP_Piura_Ampliacion_Oficina _TI</t>
        </is>
      </c>
      <c r="AK8" s="7" t="n">
        <v>46055</v>
      </c>
      <c r="AL8" s="3" t="inlineStr">
        <is>
          <t>ESEVERINO</t>
        </is>
      </c>
    </row>
    <row r="9">
      <c r="A9" s="3" t="n">
        <v>3</v>
      </c>
      <c r="B9" s="3" t="inlineStr">
        <is>
          <t>OPS_003</t>
        </is>
      </c>
      <c r="C9" s="3" t="inlineStr">
        <is>
          <t>OPS</t>
        </is>
      </c>
      <c r="D9" s="3" t="inlineStr">
        <is>
          <t>Soledad Palacios</t>
        </is>
      </c>
      <c r="H9" s="3" t="inlineStr">
        <is>
          <t>Anaqueles para depósito de mantenimiento - Sótano 1</t>
        </is>
      </c>
      <c r="I9" s="3" t="inlineStr">
        <is>
          <t>Materiales y herramientas en desorden impidiendo realizar un adecuado inventario</t>
        </is>
      </c>
      <c r="J9" s="3" t="inlineStr">
        <is>
          <t xml:space="preserve">https://www,dropbox,com/scl/fo/ygr8hf8nc7sv9xb4l0xwd/ALWiM47178yHX-TQzmGJhc0?rlkey=yl7begjvbrhyckomvjk2kiwdg&amp;st=aslk3c2p&amp;dl=0 </t>
        </is>
      </c>
      <c r="K9" s="3" t="inlineStr">
        <is>
          <t>OK</t>
        </is>
      </c>
      <c r="L9" s="3">
        <f>SUM(M9:O9)</f>
        <v/>
      </c>
      <c r="M9" s="3" t="n">
        <v>4</v>
      </c>
      <c r="N9" s="3" t="n">
        <v>2</v>
      </c>
      <c r="O9" s="3" t="n">
        <v>4</v>
      </c>
      <c r="Q9" s="3" t="inlineStr">
        <is>
          <t>SI</t>
        </is>
      </c>
      <c r="R9" s="3" t="inlineStr">
        <is>
          <t>UTP Trujillo</t>
        </is>
      </c>
      <c r="S9" s="3" t="n">
        <v>70180103</v>
      </c>
      <c r="T9" s="3" t="inlineStr">
        <is>
          <t>UTP NICOLAS PIEROLA - TRUJILLO</t>
        </is>
      </c>
      <c r="U9" s="3" t="n">
        <v>35000</v>
      </c>
      <c r="W9" s="3" t="inlineStr">
        <is>
          <t>A</t>
        </is>
      </c>
      <c r="X9" s="4" t="n">
        <v>46174</v>
      </c>
      <c r="Y9" s="4" t="n">
        <v>46295</v>
      </c>
      <c r="Z9" s="6" t="n"/>
      <c r="AA9" s="6" t="n"/>
      <c r="AB9" s="3" t="inlineStr">
        <is>
          <t>EN PROCESO</t>
        </is>
      </c>
      <c r="AD9" s="3" t="inlineStr">
        <is>
          <t>Campus</t>
        </is>
      </c>
      <c r="AE9" s="3" t="inlineStr">
        <is>
          <t>SC-0000115856-2026</t>
        </is>
      </c>
      <c r="AI9" s="3" t="inlineStr">
        <is>
          <t>AM001207</t>
        </is>
      </c>
      <c r="AJ9" s="3" t="inlineStr">
        <is>
          <t>UTP_Trujillo_Anaqueles_depósito_mantenimiento_Sótano 1</t>
        </is>
      </c>
      <c r="AK9" s="7" t="n">
        <v>46055</v>
      </c>
      <c r="AL9" s="3" t="inlineStr">
        <is>
          <t>ESEVERINO</t>
        </is>
      </c>
      <c r="AM9" s="3" t="inlineStr">
        <is>
          <t>OC en cotización</t>
        </is>
      </c>
    </row>
    <row r="10">
      <c r="A10" s="3" t="n">
        <v>4</v>
      </c>
      <c r="B10" s="3" t="inlineStr">
        <is>
          <t>OPS_004</t>
        </is>
      </c>
      <c r="C10" s="3" t="inlineStr">
        <is>
          <t>OPS</t>
        </is>
      </c>
      <c r="D10" s="3" t="inlineStr">
        <is>
          <t>Marco Bonifaz</t>
        </is>
      </c>
      <c r="H10" s="3" t="inlineStr">
        <is>
          <t>Ascensor de escaleras para personas con discapacidad del piso 15 a la terraza en torre A y torre B,</t>
        </is>
      </c>
      <c r="I10" s="3" t="inlineStr">
        <is>
          <t>Los ascensores de ambas torres van hasta el piso 15 las personas con discapacidad no pueden acceder a la terraza del piso 16 en torre A tenemos espacios libres y próximamente a Listo y en la terraza de la torre B tenemos también espacios libres y zona de vida universitaria,</t>
        </is>
      </c>
      <c r="J10" s="3" t="inlineStr">
        <is>
          <t>EJEMPLO DE ASCENSOR DE ESCALERA PARA DISCAPACITADOS,jpg</t>
        </is>
      </c>
      <c r="K10" s="3" t="inlineStr">
        <is>
          <t>OK</t>
        </is>
      </c>
      <c r="L10" s="3">
        <f>SUM(M10:O10)</f>
        <v/>
      </c>
      <c r="M10" s="3" t="n">
        <v>3</v>
      </c>
      <c r="N10" s="3" t="n">
        <v>5</v>
      </c>
      <c r="O10" s="3" t="n">
        <v>5</v>
      </c>
      <c r="P10" s="3" t="inlineStr">
        <is>
          <t>Revisar di instalación de equipo perjudica evacuación del piso</t>
        </is>
      </c>
      <c r="Q10" s="3" t="inlineStr">
        <is>
          <t>SI</t>
        </is>
      </c>
      <c r="R10" s="3" t="inlineStr">
        <is>
          <t>UTP Lima Norte</t>
        </is>
      </c>
      <c r="S10" s="3" t="n">
        <v>10220111</v>
      </c>
      <c r="T10" s="3" t="inlineStr">
        <is>
          <t>UTP AV,INFANTAS MZ 2E LOTE 28, URB, STA LUISA - LOS OLIVOS</t>
        </is>
      </c>
      <c r="U10" s="3" t="n">
        <v>70000</v>
      </c>
      <c r="W10" s="3" t="inlineStr">
        <is>
          <t>A</t>
        </is>
      </c>
      <c r="X10" s="4" t="n">
        <v>46235</v>
      </c>
      <c r="Y10" s="4" t="n">
        <v>46356</v>
      </c>
      <c r="Z10" s="6" t="n"/>
      <c r="AA10" s="6" t="n"/>
      <c r="AB10" s="3" t="inlineStr">
        <is>
          <t>PENDIENTE</t>
        </is>
      </c>
      <c r="AD10" s="3" t="inlineStr">
        <is>
          <t>Infraestructura</t>
        </is>
      </c>
    </row>
    <row r="11">
      <c r="A11" s="3" t="n">
        <v>5</v>
      </c>
      <c r="B11" s="3" t="inlineStr">
        <is>
          <t>OPS_005</t>
        </is>
      </c>
      <c r="C11" s="3" t="inlineStr">
        <is>
          <t>OPS</t>
        </is>
      </c>
      <c r="D11" s="3" t="inlineStr">
        <is>
          <t>Eloy Pocohuanca</t>
        </is>
      </c>
      <c r="F11" s="3" t="inlineStr">
        <is>
          <t>epocohuanc@utp,edu,pe</t>
        </is>
      </c>
      <c r="G11" s="3" t="inlineStr">
        <is>
          <t>937 029 622</t>
        </is>
      </c>
      <c r="H11" s="3" t="inlineStr">
        <is>
          <t>Cambio de counter de biblioteca cambio de mesas de sala grupal cambio de Puff de SAE Implementación de sillas para VU</t>
        </is>
      </c>
      <c r="I11" s="3" t="inlineStr">
        <is>
          <t>Cambio de counter de biblioteca de mesas grupales de biblioteca de puff de SAE por deterioro implementación de sillas para la sala de vida universitaria y asi se le pueda dar usi incluso para las diversas actividades universitarias (taller etc)</t>
        </is>
      </c>
      <c r="Q11" s="3" t="inlineStr">
        <is>
          <t>SI</t>
        </is>
      </c>
      <c r="R11" s="3" t="inlineStr">
        <is>
          <t>UTP Chimbote</t>
        </is>
      </c>
      <c r="S11" s="3" t="n">
        <v>70150101</v>
      </c>
      <c r="T11" s="3" t="inlineStr">
        <is>
          <t>UTP PASERO DEL MAR MZ C9- LT2 - CHIMBOTE</t>
        </is>
      </c>
      <c r="U11" s="3" t="n">
        <v>15000</v>
      </c>
      <c r="V11" s="3" t="n">
        <v>11085</v>
      </c>
      <c r="W11" s="3" t="inlineStr">
        <is>
          <t>B</t>
        </is>
      </c>
      <c r="X11" s="4" t="n">
        <v>46082</v>
      </c>
      <c r="Y11" s="4" t="n">
        <v>46082</v>
      </c>
      <c r="Z11" s="4" t="n">
        <v>46082</v>
      </c>
      <c r="AA11" s="4" t="n">
        <v>46111</v>
      </c>
      <c r="AB11" s="3" t="inlineStr">
        <is>
          <t>EJECUTADO</t>
        </is>
      </c>
      <c r="AC11" s="3" t="inlineStr">
        <is>
          <t>EJECUTADO</t>
        </is>
      </c>
      <c r="AD11" s="3" t="inlineStr">
        <is>
          <t>Proyectos Ops</t>
        </is>
      </c>
      <c r="AE11" s="3" t="inlineStr">
        <is>
          <t>SC-0000118185-2026  / SC-0000120820-2026</t>
        </is>
      </c>
      <c r="AF11" s="7" t="n">
        <v>46098</v>
      </c>
      <c r="AG11" s="3" t="inlineStr">
        <is>
          <t>OC-0000121793-2026 / OC-0000124082-2026</t>
        </is>
      </c>
      <c r="AH11" s="7" t="n">
        <v>46098</v>
      </c>
      <c r="AI11" s="3" t="inlineStr">
        <is>
          <t>AM001195</t>
        </is>
      </c>
      <c r="AJ11" s="3" t="inlineStr">
        <is>
          <t>UTP_Chimbote_Cambio_counter biblioteca_Puff de SAE_mesas grupales_implementacion sillas_VU</t>
        </is>
      </c>
      <c r="AK11" s="7" t="n">
        <v>46055</v>
      </c>
      <c r="AL11" s="3" t="inlineStr">
        <is>
          <t>ESEVERINO</t>
        </is>
      </c>
      <c r="AM11" s="3" t="inlineStr">
        <is>
          <t>generación de SC y OC: 24/02 / 17/03</t>
        </is>
      </c>
    </row>
    <row r="12">
      <c r="A12" s="3" t="n">
        <v>6</v>
      </c>
      <c r="B12" s="3" t="inlineStr">
        <is>
          <t>OPS_006</t>
        </is>
      </c>
      <c r="C12" s="3" t="inlineStr">
        <is>
          <t>OPS</t>
        </is>
      </c>
      <c r="D12" s="3" t="inlineStr">
        <is>
          <t xml:space="preserve">Carlos Sanchez Pariona </t>
        </is>
      </c>
      <c r="F12" s="3" t="inlineStr">
        <is>
          <t>csanchezp@utp,edu,pe</t>
        </is>
      </c>
      <c r="G12" s="3" t="inlineStr">
        <is>
          <t>951 317 089</t>
        </is>
      </c>
      <c r="H12" s="3" t="inlineStr">
        <is>
          <t>Cambio de grifería y trampas en 50 baños de Torre Petit Thoaurs</t>
        </is>
      </c>
      <c r="I12" s="3" t="inlineStr">
        <is>
          <t>Para la mejora en la experiencia alumno y su impacto en NPS se requiere cambio de grifería trampas desagüe en 50 baños</t>
        </is>
      </c>
      <c r="J12" s="3" t="inlineStr">
        <is>
          <t>https://www,dropbox,com/scl/fi/2htg1gbdek9wr6e2g0y57/Iniciativas-mejora-2025,pptx?rlkey=ucwlfkeatbngte3u1q2nij5lp&amp;st=ukeg7lj8&amp;dl=0</t>
        </is>
      </c>
      <c r="K12" s="3" t="inlineStr">
        <is>
          <t>OK</t>
        </is>
      </c>
      <c r="L12" s="3">
        <f>SUM(M12:O12)</f>
        <v/>
      </c>
      <c r="M12" s="3" t="n">
        <v>2</v>
      </c>
      <c r="N12" s="3" t="n">
        <v>5</v>
      </c>
      <c r="O12" s="3" t="n">
        <v>1</v>
      </c>
      <c r="Q12" s="3" t="inlineStr">
        <is>
          <t>SI</t>
        </is>
      </c>
      <c r="R12" s="3" t="inlineStr">
        <is>
          <t>UTP Lima Centro</t>
        </is>
      </c>
      <c r="S12" s="3" t="n">
        <v>10110204</v>
      </c>
      <c r="T12" s="3" t="inlineStr">
        <is>
          <t>UTP PETIT THOU383-385-TORRE II - LIMA</t>
        </is>
      </c>
      <c r="U12" s="3" t="n">
        <v>26000</v>
      </c>
      <c r="V12" s="3" t="n">
        <v>16374.52</v>
      </c>
      <c r="W12" s="3" t="inlineStr">
        <is>
          <t>C</t>
        </is>
      </c>
      <c r="X12" s="4" t="n">
        <v>46174</v>
      </c>
      <c r="Y12" s="4" t="n">
        <v>46295</v>
      </c>
      <c r="Z12" s="4" t="n">
        <v>46132</v>
      </c>
      <c r="AA12" s="6" t="n"/>
      <c r="AB12" s="3" t="inlineStr">
        <is>
          <t>EN PROCESO</t>
        </is>
      </c>
      <c r="AD12" s="3" t="inlineStr">
        <is>
          <t>Mantenimiento</t>
        </is>
      </c>
      <c r="AE12" s="3" t="inlineStr">
        <is>
          <t>SC-0000116432-2026 / SC-0000122792-2026</t>
        </is>
      </c>
      <c r="AF12" s="7" t="n">
        <v>46119</v>
      </c>
      <c r="AG12" s="3" t="inlineStr">
        <is>
          <t>OC-0000125881-2026 / OC-0000128442-2026</t>
        </is>
      </c>
      <c r="AH12" s="3" t="inlineStr">
        <is>
          <t>07/04 / 30/04</t>
        </is>
      </c>
      <c r="AI12" s="3" t="inlineStr">
        <is>
          <t>MEJ00184</t>
        </is>
      </c>
      <c r="AJ12" s="3" t="inlineStr">
        <is>
          <t>UTP_PTT383-385_Cambio_griferia_trampas _50 baños_Torre II</t>
        </is>
      </c>
      <c r="AK12" s="7" t="n">
        <v>46055</v>
      </c>
      <c r="AL12" s="3" t="inlineStr">
        <is>
          <t>ESEVERINO</t>
        </is>
      </c>
      <c r="AM12" s="3" t="inlineStr">
        <is>
          <t>SE ENVIÓ NR OC-0000125881-2026</t>
        </is>
      </c>
    </row>
    <row r="13">
      <c r="A13" s="3" t="n">
        <v>7</v>
      </c>
      <c r="B13" s="3" t="inlineStr">
        <is>
          <t>OPS_007</t>
        </is>
      </c>
      <c r="C13" s="3" t="inlineStr">
        <is>
          <t>OPS</t>
        </is>
      </c>
      <c r="D13" s="3" t="inlineStr">
        <is>
          <t xml:space="preserve">Carlos Sanchez Pariona </t>
        </is>
      </c>
      <c r="F13" s="3" t="inlineStr">
        <is>
          <t>csanchezp@utp,edu,pe</t>
        </is>
      </c>
      <c r="G13" s="3" t="inlineStr">
        <is>
          <t>951 317 089</t>
        </is>
      </c>
      <c r="H13" s="3" t="inlineStr">
        <is>
          <t>Cambio de línea de desague en Torre Petit Thoaurs</t>
        </is>
      </c>
      <c r="I13" s="3" t="inlineStr">
        <is>
          <t>Cambio de línea matriz de desagüe ambos montantes por constantes atoros, Antigüedad mayor a 20 años</t>
        </is>
      </c>
      <c r="J13" s="3" t="inlineStr">
        <is>
          <t>https://www,dropbox,com/scl/fi/2htg1gbdek9wr6e2g0y57/Iniciativas-mejora-2025,pptx?rlkey=ucwlfkeatbngte3u1q2nij5lp&amp;st=ukeg7lj8&amp;dl=0</t>
        </is>
      </c>
      <c r="K13" s="3" t="inlineStr">
        <is>
          <t>OK</t>
        </is>
      </c>
      <c r="L13" s="3">
        <f>SUM(M13:O13)</f>
        <v/>
      </c>
      <c r="M13" s="3" t="n">
        <v>1</v>
      </c>
      <c r="N13" s="3" t="n">
        <v>5</v>
      </c>
      <c r="O13" s="3" t="n">
        <v>5</v>
      </c>
      <c r="Q13" s="3" t="inlineStr">
        <is>
          <t>SI</t>
        </is>
      </c>
      <c r="R13" s="3" t="inlineStr">
        <is>
          <t>UTP Lima Centro</t>
        </is>
      </c>
      <c r="S13" s="3" t="n">
        <v>10110204</v>
      </c>
      <c r="T13" s="3" t="inlineStr">
        <is>
          <t>UTP PETIT THOU383-385-TORRE II - LIMA</t>
        </is>
      </c>
      <c r="U13" s="3" t="n">
        <v>87457.3</v>
      </c>
      <c r="V13" s="3" t="n">
        <v>84268.50999999999</v>
      </c>
      <c r="W13" s="3" t="inlineStr">
        <is>
          <t>A</t>
        </is>
      </c>
      <c r="X13" s="4" t="n">
        <v>46174</v>
      </c>
      <c r="Y13" s="4" t="n">
        <v>46295</v>
      </c>
      <c r="Z13" s="4" t="n">
        <v>46193</v>
      </c>
      <c r="AA13" s="6" t="n"/>
      <c r="AB13" s="3" t="inlineStr">
        <is>
          <t>EN PROCESO</t>
        </is>
      </c>
      <c r="AD13" s="3" t="inlineStr">
        <is>
          <t>Mantenimiento</t>
        </is>
      </c>
      <c r="AE13" s="3" t="inlineStr">
        <is>
          <t>SC-0000116816-2026</t>
        </is>
      </c>
      <c r="AF13" s="7" t="n">
        <v>46063</v>
      </c>
      <c r="AG13" s="3" t="inlineStr">
        <is>
          <t>OC-0000133232-2026</t>
        </is>
      </c>
      <c r="AH13" s="7" t="n">
        <v>46175</v>
      </c>
      <c r="AI13" s="3" t="inlineStr">
        <is>
          <t>MEJ00185</t>
        </is>
      </c>
      <c r="AJ13" s="3" t="inlineStr">
        <is>
          <t>UTP_PTT383-385_Cambio_línea desague_Torre II</t>
        </is>
      </c>
      <c r="AK13" s="7" t="n">
        <v>46055</v>
      </c>
      <c r="AL13" s="3" t="inlineStr">
        <is>
          <t>ESEVERINO</t>
        </is>
      </c>
      <c r="AO13" s="3" t="inlineStr">
        <is>
          <t>Presupuesto se amplia a 87 K</t>
        </is>
      </c>
    </row>
    <row r="14">
      <c r="A14" s="3" t="n">
        <v>8</v>
      </c>
      <c r="B14" s="3" t="inlineStr">
        <is>
          <t>OPS_008</t>
        </is>
      </c>
      <c r="C14" s="3" t="inlineStr">
        <is>
          <t>OPS</t>
        </is>
      </c>
      <c r="D14" s="3" t="inlineStr">
        <is>
          <t xml:space="preserve">Elmer Raul ILLANES PAUCAR </t>
        </is>
      </c>
      <c r="F14" s="3" t="inlineStr">
        <is>
          <t>eillanes@utp,edu,pe</t>
        </is>
      </c>
      <c r="G14" s="3" t="inlineStr">
        <is>
          <t>994 690 404</t>
        </is>
      </c>
      <c r="H14" s="3" t="inlineStr">
        <is>
          <t>Cambio de piso de biblioteca por porcelanato</t>
        </is>
      </c>
      <c r="I14" s="3" t="inlineStr">
        <is>
          <t>El piso actual presenta desgaste significativo del material debido al propio uso estando en muy mal estado por algunas zonasadiconal dicho material no ha sido reemplazado desde el 2018,</t>
        </is>
      </c>
      <c r="J14" s="3" t="inlineStr">
        <is>
          <t>PISO BIBLIOTECA</t>
        </is>
      </c>
      <c r="K14" s="3" t="inlineStr">
        <is>
          <t>OK</t>
        </is>
      </c>
      <c r="L14" s="3">
        <f>SUM(M14:O14)</f>
        <v/>
      </c>
      <c r="M14" s="3" t="n">
        <v>3</v>
      </c>
      <c r="N14" s="3" t="n">
        <v>5</v>
      </c>
      <c r="O14" s="3" t="n">
        <v>1</v>
      </c>
      <c r="Q14" s="3" t="inlineStr">
        <is>
          <t>SI</t>
        </is>
      </c>
      <c r="R14" s="3" t="inlineStr">
        <is>
          <t>UTP Lima Este</t>
        </is>
      </c>
      <c r="S14" s="3" t="n">
        <v>10220108</v>
      </c>
      <c r="T14" s="3" t="inlineStr">
        <is>
          <t>UTP N,AYLLON KM11,60 LOTE 96ATE -LIMA</t>
        </is>
      </c>
      <c r="U14" s="3" t="n">
        <v>71200</v>
      </c>
      <c r="V14" s="3" t="n">
        <v>71200</v>
      </c>
      <c r="W14" s="3" t="inlineStr">
        <is>
          <t>B</t>
        </is>
      </c>
      <c r="X14" s="4" t="n">
        <v>46082</v>
      </c>
      <c r="Y14" s="4" t="n">
        <v>46082</v>
      </c>
      <c r="Z14" s="4" t="n">
        <v>46082</v>
      </c>
      <c r="AA14" s="4" t="n">
        <v>46111</v>
      </c>
      <c r="AB14" s="3" t="inlineStr">
        <is>
          <t>EJECUTADO</t>
        </is>
      </c>
      <c r="AC14" s="3" t="inlineStr">
        <is>
          <t>EJECUTADO</t>
        </is>
      </c>
      <c r="AD14" s="3" t="inlineStr">
        <is>
          <t>Mantenimiento</t>
        </is>
      </c>
      <c r="AE14" s="3" t="inlineStr">
        <is>
          <t>SC-0000116464-2026</t>
        </is>
      </c>
      <c r="AF14" s="7" t="n">
        <v>46060</v>
      </c>
      <c r="AG14" s="3" t="inlineStr">
        <is>
          <t>OC-0000121837-2026</t>
        </is>
      </c>
      <c r="AH14" s="7" t="n">
        <v>46077</v>
      </c>
      <c r="AI14" s="3" t="inlineStr">
        <is>
          <t>MEJ00186</t>
        </is>
      </c>
      <c r="AJ14" s="3" t="inlineStr">
        <is>
          <t>UTP_Ate KM11,60_Cambio_piso biblioteca_porcelanato</t>
        </is>
      </c>
      <c r="AK14" s="7" t="n">
        <v>46055</v>
      </c>
      <c r="AL14" s="3" t="inlineStr">
        <is>
          <t>ESEVERINO</t>
        </is>
      </c>
      <c r="AO14" s="3" t="inlineStr">
        <is>
          <t>Revisar con Finanzas</t>
        </is>
      </c>
    </row>
    <row r="15">
      <c r="A15" s="3" t="n">
        <v>9</v>
      </c>
      <c r="B15" s="3" t="inlineStr">
        <is>
          <t>OPS_009</t>
        </is>
      </c>
      <c r="C15" s="3" t="inlineStr">
        <is>
          <t>OPS</t>
        </is>
      </c>
      <c r="D15" s="3" t="inlineStr">
        <is>
          <t xml:space="preserve">Elmer Raul ILLANES PAUCAR </t>
        </is>
      </c>
      <c r="F15" s="3" t="inlineStr">
        <is>
          <t>eillanes@utp,edu,pe</t>
        </is>
      </c>
      <c r="G15" s="3" t="inlineStr">
        <is>
          <t>994 690 404</t>
        </is>
      </c>
      <c r="H15" s="3" t="inlineStr">
        <is>
          <t>Cambio de piso de biblioteca por porcelanato</t>
        </is>
      </c>
      <c r="I15" s="3" t="inlineStr">
        <is>
          <t>El piso actual presenta desgaste significativo del material debido al propio uso estando en muy mal estado por algunas zonasadiconal dicho material no ha sido reemplazado desde el 2018,</t>
        </is>
      </c>
      <c r="K15" s="3" t="inlineStr">
        <is>
          <t>OK</t>
        </is>
      </c>
      <c r="L15" s="3">
        <f>SUM(M15:O15)</f>
        <v/>
      </c>
      <c r="M15" s="3" t="n">
        <v>3</v>
      </c>
      <c r="N15" s="3" t="n">
        <v>5</v>
      </c>
      <c r="O15" s="3" t="n">
        <v>1</v>
      </c>
      <c r="Q15" s="3" t="inlineStr">
        <is>
          <t>SI</t>
        </is>
      </c>
      <c r="R15" s="3" t="inlineStr">
        <is>
          <t>UTP Lima Norte</t>
        </is>
      </c>
      <c r="S15" s="3" t="inlineStr">
        <is>
          <t>10220111</t>
        </is>
      </c>
      <c r="T15" s="3" t="inlineStr">
        <is>
          <t>UTP AV,INFANTAS MZ 2E LOTE 28, URB, STA LUISA - LOS OLIVOS</t>
        </is>
      </c>
      <c r="U15" s="3" t="n">
        <v>130000</v>
      </c>
      <c r="V15" s="3" t="n">
        <v>144753.79</v>
      </c>
      <c r="W15" s="3" t="inlineStr">
        <is>
          <t>B</t>
        </is>
      </c>
      <c r="X15" s="4" t="n">
        <v>46082</v>
      </c>
      <c r="Y15" s="4" t="n">
        <v>46082</v>
      </c>
      <c r="Z15" s="4" t="n">
        <v>46082</v>
      </c>
      <c r="AA15" s="4" t="n">
        <v>46111</v>
      </c>
      <c r="AB15" s="3" t="inlineStr">
        <is>
          <t>EJECUTADO</t>
        </is>
      </c>
      <c r="AC15" s="3" t="inlineStr">
        <is>
          <t>EJECUTADO</t>
        </is>
      </c>
      <c r="AD15" s="3" t="inlineStr">
        <is>
          <t>Mantenimiento</t>
        </is>
      </c>
      <c r="AE15" s="3" t="inlineStr">
        <is>
          <t>SC-0000116465-2026</t>
        </is>
      </c>
      <c r="AF15" s="7" t="n">
        <v>46060</v>
      </c>
      <c r="AG15" s="3" t="inlineStr">
        <is>
          <t>OC-0000123203-2026</t>
        </is>
      </c>
      <c r="AH15" s="7" t="n">
        <v>46091</v>
      </c>
      <c r="AI15" s="3" t="inlineStr">
        <is>
          <t>MEJ00187</t>
        </is>
      </c>
      <c r="AJ15" s="3" t="inlineStr">
        <is>
          <t>UTP_LN Mz Lote 28_Cambio_piso biblioteca_porcelanato</t>
        </is>
      </c>
      <c r="AK15" s="7" t="n">
        <v>46055</v>
      </c>
      <c r="AL15" s="3" t="inlineStr">
        <is>
          <t>ESEVERINO</t>
        </is>
      </c>
    </row>
    <row r="16">
      <c r="A16" s="3" t="n">
        <v>10</v>
      </c>
      <c r="B16" s="3" t="inlineStr">
        <is>
          <t>OPS_010</t>
        </is>
      </c>
      <c r="C16" s="3" t="inlineStr">
        <is>
          <t>OPS</t>
        </is>
      </c>
      <c r="D16" s="3" t="inlineStr">
        <is>
          <t>Gustavo Mallaupoma</t>
        </is>
      </c>
      <c r="H16" s="3" t="inlineStr">
        <is>
          <t>Cambio de piso laminado por porcelanato en el laboratorio de terapias física de Sede Central</t>
        </is>
      </c>
      <c r="I16" s="3" t="inlineStr">
        <is>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is>
      </c>
      <c r="J16" s="3" t="inlineStr">
        <is>
          <t>https://drive,google,com/drive/folders/1P0EWUzgUa6s_t8Xe0GcagbXeceSvYmfn</t>
        </is>
      </c>
      <c r="K16" s="3" t="inlineStr">
        <is>
          <t>OK</t>
        </is>
      </c>
      <c r="L16" s="3">
        <f>SUM(M16:O16)</f>
        <v/>
      </c>
      <c r="M16" s="3" t="n">
        <v>4</v>
      </c>
      <c r="N16" s="3" t="n">
        <v>5</v>
      </c>
      <c r="O16" s="3" t="n">
        <v>1</v>
      </c>
      <c r="Q16" s="3" t="inlineStr">
        <is>
          <t>SI</t>
        </is>
      </c>
      <c r="R16" s="3" t="inlineStr">
        <is>
          <t>UTP Lima Centro</t>
        </is>
      </c>
      <c r="S16" s="3" t="n">
        <v>10110201</v>
      </c>
      <c r="T16" s="3" t="inlineStr">
        <is>
          <t>UTP PETITTHOURS 116 -  LIMA</t>
        </is>
      </c>
      <c r="U16" s="3" t="n">
        <v>30000</v>
      </c>
      <c r="V16" s="3" t="n">
        <v>14355.5</v>
      </c>
      <c r="W16" s="3" t="inlineStr">
        <is>
          <t>A</t>
        </is>
      </c>
      <c r="X16" s="4" t="n">
        <v>46082</v>
      </c>
      <c r="Y16" s="4" t="n">
        <v>46082</v>
      </c>
      <c r="Z16" s="4" t="n">
        <v>46082</v>
      </c>
      <c r="AA16" s="4" t="n">
        <v>46111</v>
      </c>
      <c r="AB16" s="3" t="inlineStr">
        <is>
          <t>EJECUTADO</t>
        </is>
      </c>
      <c r="AC16" s="3" t="inlineStr">
        <is>
          <t>EJECUTADO</t>
        </is>
      </c>
      <c r="AD16" s="3" t="inlineStr">
        <is>
          <t>Mantenimiento</t>
        </is>
      </c>
      <c r="AE16" s="3" t="inlineStr">
        <is>
          <t>SC-0000117935-2026</t>
        </is>
      </c>
      <c r="AF16" s="7" t="n">
        <v>46073</v>
      </c>
      <c r="AG16" s="3" t="inlineStr">
        <is>
          <t>OC-0000122833-2026</t>
        </is>
      </c>
      <c r="AH16" s="7" t="n">
        <v>46086</v>
      </c>
      <c r="AI16" s="3" t="inlineStr">
        <is>
          <t>MEJ00188</t>
        </is>
      </c>
      <c r="AJ16" s="3" t="inlineStr">
        <is>
          <t>UTP_PTT116_Cambio_piso laminado_porcelanato_laboratorio_terapias fisicas</t>
        </is>
      </c>
      <c r="AK16" s="7" t="n">
        <v>46055</v>
      </c>
      <c r="AL16" s="3" t="inlineStr">
        <is>
          <t>ESEVERINO</t>
        </is>
      </c>
      <c r="AM16" s="3" t="inlineStr">
        <is>
          <t>Conversar con Fredy</t>
        </is>
      </c>
    </row>
    <row r="17">
      <c r="A17" s="3" t="n">
        <v>11</v>
      </c>
      <c r="B17" s="3" t="inlineStr">
        <is>
          <t>OPS_011</t>
        </is>
      </c>
      <c r="C17" s="3" t="inlineStr">
        <is>
          <t>OPS</t>
        </is>
      </c>
      <c r="D17" s="3" t="inlineStr">
        <is>
          <t xml:space="preserve">Carlos Sanchez Pariona </t>
        </is>
      </c>
      <c r="F17" s="3" t="inlineStr">
        <is>
          <t>csanchezp@utp,edu,pe</t>
        </is>
      </c>
      <c r="G17" s="3" t="inlineStr">
        <is>
          <t>951 317 089</t>
        </is>
      </c>
      <c r="H17" s="3" t="inlineStr">
        <is>
          <t>Cambio de porcelanatos en ambientes críticos con levantamientos/roturas diferente color en Torre Petit Thoaurs,</t>
        </is>
      </c>
      <c r="I17" s="3" t="inlineStr">
        <is>
          <t xml:space="preserve">El porcelanato de 44 ambientes académicos se encuentra levantados y/o rajados, Hay 21 ambientes críticos que se localizan entre el piso 7 y 14,Se adjunta excel en link con el detalle </t>
        </is>
      </c>
      <c r="J17" s="3" t="inlineStr">
        <is>
          <t>Porcelanatos TORRE2</t>
        </is>
      </c>
      <c r="K17" s="3" t="inlineStr">
        <is>
          <t>OK</t>
        </is>
      </c>
      <c r="L17" s="3">
        <f>SUM(M17:O17)</f>
        <v/>
      </c>
      <c r="M17" s="3" t="n">
        <v>3</v>
      </c>
      <c r="N17" s="3" t="n">
        <v>5</v>
      </c>
      <c r="O17" s="3" t="n">
        <v>1</v>
      </c>
      <c r="Q17" s="3" t="inlineStr">
        <is>
          <t>SI</t>
        </is>
      </c>
      <c r="R17" s="3" t="inlineStr">
        <is>
          <t>UTP Lima Centro</t>
        </is>
      </c>
      <c r="S17" s="3" t="n">
        <v>10110204</v>
      </c>
      <c r="T17" s="3" t="inlineStr">
        <is>
          <t>UTP PETIT THOU383-385-TORRE II - LIMA</t>
        </is>
      </c>
      <c r="U17" s="3" t="n">
        <v>258000</v>
      </c>
      <c r="V17" s="3" t="n">
        <v>156958.9</v>
      </c>
      <c r="W17" s="3" t="inlineStr">
        <is>
          <t>B</t>
        </is>
      </c>
      <c r="X17" s="4" t="n">
        <v>46174</v>
      </c>
      <c r="Y17" s="4" t="n">
        <v>46295</v>
      </c>
      <c r="Z17" s="4" t="n">
        <v>46132</v>
      </c>
      <c r="AA17" s="6" t="n"/>
      <c r="AB17" s="3" t="inlineStr">
        <is>
          <t>EN PROCESO</t>
        </is>
      </c>
      <c r="AD17" s="3" t="inlineStr">
        <is>
          <t>Mantenimiento</t>
        </is>
      </c>
      <c r="AE17" s="3" t="inlineStr">
        <is>
          <t>SC-0000116467-2026</t>
        </is>
      </c>
      <c r="AF17" s="7" t="n">
        <v>46060</v>
      </c>
      <c r="AG17" s="3" t="inlineStr">
        <is>
          <t>OC-0000124295-2026</t>
        </is>
      </c>
      <c r="AH17" s="7" t="n">
        <v>46100</v>
      </c>
      <c r="AI17" s="3" t="inlineStr">
        <is>
          <t>MEJ00189</t>
        </is>
      </c>
      <c r="AJ17" s="3" t="inlineStr">
        <is>
          <t>UTP_PTT383-385_Cambio_porcelanatos_ambientes criticos</t>
        </is>
      </c>
      <c r="AK17" s="7" t="n">
        <v>46055</v>
      </c>
      <c r="AL17" s="3" t="inlineStr">
        <is>
          <t>ESEVERINO</t>
        </is>
      </c>
    </row>
    <row r="18">
      <c r="A18" s="3" t="n">
        <v>12</v>
      </c>
      <c r="B18" s="3" t="inlineStr">
        <is>
          <t>OPS_012</t>
        </is>
      </c>
      <c r="C18" s="3" t="inlineStr">
        <is>
          <t>OPS</t>
        </is>
      </c>
      <c r="D18" s="3" t="inlineStr">
        <is>
          <t xml:space="preserve">Carlos Sanchez Pariona </t>
        </is>
      </c>
      <c r="F18" s="3" t="inlineStr">
        <is>
          <t>csanchezp@utp,edu,pe</t>
        </is>
      </c>
      <c r="G18" s="3" t="inlineStr">
        <is>
          <t>951 317 089</t>
        </is>
      </c>
      <c r="H18" s="3" t="inlineStr">
        <is>
          <t xml:space="preserve">Cambio del techo del comedor </t>
        </is>
      </c>
      <c r="I18" s="3" t="inlineStr">
        <is>
          <t>Techo del comedor está en mal estado la limpieza no es suficiente las planchas de policarbonato están descoloridas, Estéticamente impacta en la imagen del Campus se ve mal</t>
        </is>
      </c>
      <c r="J18" s="3" t="inlineStr">
        <is>
          <t>TECHO COMEDOR ATE</t>
        </is>
      </c>
      <c r="K18" s="3" t="inlineStr">
        <is>
          <t>OK</t>
        </is>
      </c>
      <c r="L18" s="3">
        <f>SUM(M18:O18)</f>
        <v/>
      </c>
      <c r="M18" s="3" t="n">
        <v>5</v>
      </c>
      <c r="N18" s="3" t="n">
        <v>5</v>
      </c>
      <c r="O18" s="3" t="n">
        <v>1</v>
      </c>
      <c r="Q18" s="3" t="inlineStr">
        <is>
          <t>SI</t>
        </is>
      </c>
      <c r="R18" s="3" t="inlineStr">
        <is>
          <t>UTP Lima Este</t>
        </is>
      </c>
      <c r="S18" s="3" t="n">
        <v>10220108</v>
      </c>
      <c r="T18" s="3" t="inlineStr">
        <is>
          <t>UTP N,AYLLON KM11,60 LOTE 96ATE -LIMA</t>
        </is>
      </c>
      <c r="U18" s="3" t="n">
        <v>32000</v>
      </c>
      <c r="V18" s="3" t="n">
        <v>46990.9</v>
      </c>
      <c r="W18" s="3" t="inlineStr">
        <is>
          <t>A</t>
        </is>
      </c>
      <c r="X18" s="4" t="n">
        <v>46174</v>
      </c>
      <c r="Y18" s="4" t="n">
        <v>46295</v>
      </c>
      <c r="Z18" s="4" t="n">
        <v>46132</v>
      </c>
      <c r="AA18" s="6" t="n"/>
      <c r="AB18" s="3" t="inlineStr">
        <is>
          <t>EN PROCESO</t>
        </is>
      </c>
      <c r="AD18" s="3" t="inlineStr">
        <is>
          <t>Mantenimiento</t>
        </is>
      </c>
      <c r="AE18" s="3" t="inlineStr">
        <is>
          <t>SC-0000116469-2026</t>
        </is>
      </c>
      <c r="AF18" s="7" t="n">
        <v>46060</v>
      </c>
      <c r="AG18" s="3" t="inlineStr">
        <is>
          <t>OC-0000124831-2026</t>
        </is>
      </c>
      <c r="AH18" s="7" t="n">
        <v>46105</v>
      </c>
      <c r="AI18" s="3" t="inlineStr">
        <is>
          <t>MEJ00190</t>
        </is>
      </c>
      <c r="AJ18" s="3" t="inlineStr">
        <is>
          <t xml:space="preserve">UTP_Ate KM11,60_Cambio_techo_comedor </t>
        </is>
      </c>
      <c r="AK18" s="7" t="n">
        <v>46055</v>
      </c>
      <c r="AL18" s="3" t="inlineStr">
        <is>
          <t>ESEVERINO</t>
        </is>
      </c>
    </row>
    <row r="19">
      <c r="A19" s="3" t="n">
        <v>13</v>
      </c>
      <c r="B19" s="3" t="inlineStr">
        <is>
          <t>OPS_013</t>
        </is>
      </c>
      <c r="C19" s="3" t="inlineStr">
        <is>
          <t>OPS</t>
        </is>
      </c>
      <c r="D19" s="3" t="inlineStr">
        <is>
          <t xml:space="preserve">VICENTE CAYETANO RODRIGUEZ PASTOR </t>
        </is>
      </c>
      <c r="F19" s="3" t="inlineStr">
        <is>
          <t>vrodriguep@utp,edu,pe</t>
        </is>
      </c>
      <c r="G19" s="3" t="inlineStr">
        <is>
          <t>955 141 444</t>
        </is>
      </c>
      <c r="H19" s="3" t="inlineStr">
        <is>
          <t>Cambio sistema de bombeo de presión constante torre A</t>
        </is>
      </c>
      <c r="I19" s="3" t="inlineStr">
        <is>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is>
      </c>
      <c r="J19" s="3" t="n">
        <v>6</v>
      </c>
      <c r="K19" s="3" t="inlineStr">
        <is>
          <t>OK</t>
        </is>
      </c>
      <c r="L19" s="3">
        <f>SUM(M19:O19)</f>
        <v/>
      </c>
      <c r="M19" s="3" t="n">
        <v>1</v>
      </c>
      <c r="N19" s="3" t="n">
        <v>3</v>
      </c>
      <c r="O19" s="3" t="n">
        <v>5</v>
      </c>
      <c r="Q19" s="3" t="inlineStr">
        <is>
          <t>SI</t>
        </is>
      </c>
      <c r="R19" s="3" t="inlineStr">
        <is>
          <t>UTP Lima Sur</t>
        </is>
      </c>
      <c r="S19" s="3" t="n">
        <v>10220106</v>
      </c>
      <c r="T19" s="3" t="inlineStr">
        <is>
          <t>UTP EL TRIUNFO S/N-VILLA SALVA - LIMA</t>
        </is>
      </c>
      <c r="U19" s="3" t="n">
        <v>128000</v>
      </c>
      <c r="V19" s="3" t="n">
        <v>125982.76</v>
      </c>
      <c r="W19" s="3" t="inlineStr">
        <is>
          <t>B</t>
        </is>
      </c>
      <c r="X19" s="4" t="n">
        <v>46082</v>
      </c>
      <c r="Y19" s="4" t="n">
        <v>46082</v>
      </c>
      <c r="Z19" s="4" t="n">
        <v>46082</v>
      </c>
      <c r="AA19" s="4" t="n">
        <v>46111</v>
      </c>
      <c r="AB19" s="3" t="inlineStr">
        <is>
          <t>EJECUTADO</t>
        </is>
      </c>
      <c r="AC19" s="3" t="inlineStr">
        <is>
          <t>EJECUTADO</t>
        </is>
      </c>
      <c r="AD19" s="3" t="inlineStr">
        <is>
          <t>Mantenimiento</t>
        </is>
      </c>
      <c r="AE19" s="3" t="inlineStr">
        <is>
          <t>SC-0000116814-2026</t>
        </is>
      </c>
      <c r="AF19" s="7" t="n">
        <v>46063</v>
      </c>
      <c r="AG19" s="3" t="inlineStr">
        <is>
          <t>OC-0000123018-2026</t>
        </is>
      </c>
      <c r="AH19" s="7" t="n">
        <v>46087</v>
      </c>
      <c r="AI19" s="3" t="inlineStr">
        <is>
          <t>MEJ00191</t>
        </is>
      </c>
      <c r="AJ19" s="3" t="inlineStr">
        <is>
          <t>UTP_VES_Cambio_sistema_bombeo presion constante_torre A</t>
        </is>
      </c>
      <c r="AK19" s="7" t="n">
        <v>46055</v>
      </c>
      <c r="AL19" s="3" t="inlineStr">
        <is>
          <t>ESEVERINO</t>
        </is>
      </c>
    </row>
    <row r="20">
      <c r="A20" s="3" t="n">
        <v>14</v>
      </c>
      <c r="B20" s="3" t="inlineStr">
        <is>
          <t>OPS_014</t>
        </is>
      </c>
      <c r="C20" s="3" t="inlineStr">
        <is>
          <t>OPS</t>
        </is>
      </c>
      <c r="D20" s="3" t="inlineStr">
        <is>
          <t>Nestor Silva</t>
        </is>
      </c>
      <c r="H20" s="3" t="inlineStr">
        <is>
          <t>Construcción de Caseta de Vigilancia</t>
        </is>
      </c>
      <c r="I20" s="3" t="inlineStr">
        <is>
          <t>Actualmente no contamos con caseta y el ecritorio en "L" se encuentra expuesto y a riesgo de extravío de llaves y DNI</t>
        </is>
      </c>
      <c r="J20" s="3" t="inlineStr">
        <is>
          <t>https://www,dropbox,com/scl/fi/eba9a8xdt27v27lynl3yp/espacio-de-vigilantes-en-sede-sin-caseta,jpg?rlkey=h8ytg6opg0ibyf17t4laksicw&amp;st=thdy8ie3&amp;dl=0</t>
        </is>
      </c>
      <c r="K20" s="3" t="inlineStr">
        <is>
          <t>OK</t>
        </is>
      </c>
      <c r="L20" s="3">
        <f>SUM(M20:O20)</f>
        <v/>
      </c>
      <c r="M20" s="3" t="n">
        <v>2</v>
      </c>
      <c r="N20" s="3" t="n">
        <v>4</v>
      </c>
      <c r="O20" s="3" t="n">
        <v>5</v>
      </c>
      <c r="P20" s="3" t="inlineStr">
        <is>
          <t>OK a evaluar presupuesto insuficiente</t>
        </is>
      </c>
      <c r="Q20" s="3" t="inlineStr">
        <is>
          <t>SI</t>
        </is>
      </c>
      <c r="R20" s="3" t="inlineStr">
        <is>
          <t>UTP Ica</t>
        </is>
      </c>
      <c r="S20" s="3" t="n">
        <v>70160101</v>
      </c>
      <c r="T20" s="3" t="inlineStr">
        <is>
          <t>UTP SUB EUB-5 SAN JOSE - ICA</t>
        </is>
      </c>
      <c r="U20" s="3" t="n">
        <v>18000</v>
      </c>
      <c r="W20" s="3" t="inlineStr">
        <is>
          <t>A</t>
        </is>
      </c>
      <c r="X20" s="4" t="n">
        <v>46235</v>
      </c>
      <c r="Y20" s="4" t="n">
        <v>46356</v>
      </c>
      <c r="Z20" s="6" t="n"/>
      <c r="AA20" s="6" t="n"/>
      <c r="AB20" s="3" t="inlineStr">
        <is>
          <t>PENDIENTE</t>
        </is>
      </c>
      <c r="AD20" s="3" t="inlineStr">
        <is>
          <t>Infraestructura</t>
        </is>
      </c>
    </row>
    <row r="21">
      <c r="A21" s="3" t="n">
        <v>15</v>
      </c>
      <c r="B21" s="3" t="inlineStr">
        <is>
          <t>OPS_015</t>
        </is>
      </c>
      <c r="C21" s="3" t="inlineStr">
        <is>
          <t>OPS</t>
        </is>
      </c>
      <c r="D21" s="3" t="inlineStr">
        <is>
          <t>CARLA CELI</t>
        </is>
      </c>
      <c r="H21" s="3" t="inlineStr">
        <is>
          <t>Depósito y estantería para SSUU (en esquina zona deportiva)</t>
        </is>
      </c>
      <c r="Q21" s="3" t="inlineStr">
        <is>
          <t>SI</t>
        </is>
      </c>
      <c r="R21" s="3" t="inlineStr">
        <is>
          <t>UTP Trujillo</t>
        </is>
      </c>
      <c r="S21" s="3" t="n">
        <v>70180103</v>
      </c>
      <c r="T21" s="3" t="inlineStr">
        <is>
          <t>UTP NICOLAS PIEROLA - TRUJILLO</t>
        </is>
      </c>
      <c r="U21" s="3" t="n">
        <v>45000</v>
      </c>
      <c r="W21" s="3" t="inlineStr">
        <is>
          <t>B</t>
        </is>
      </c>
      <c r="X21" s="4" t="n">
        <v>46235</v>
      </c>
      <c r="Y21" s="4" t="n">
        <v>46356</v>
      </c>
      <c r="Z21" s="6" t="n"/>
      <c r="AA21" s="6" t="n"/>
      <c r="AB21" s="3" t="inlineStr">
        <is>
          <t>PENDIENTE</t>
        </is>
      </c>
      <c r="AD21" s="3" t="inlineStr">
        <is>
          <t>Infraestructura</t>
        </is>
      </c>
    </row>
    <row r="22">
      <c r="A22" s="3" t="n">
        <v>16</v>
      </c>
      <c r="B22" s="3" t="inlineStr">
        <is>
          <t>OPS_016</t>
        </is>
      </c>
      <c r="C22" s="3" t="inlineStr">
        <is>
          <t>OPS</t>
        </is>
      </c>
      <c r="D22" s="3" t="inlineStr">
        <is>
          <t>Luis García</t>
        </is>
      </c>
      <c r="H22" s="3" t="inlineStr">
        <is>
          <t>Equipo de AA para cuarto de servidores torre A</t>
        </is>
      </c>
      <c r="I22" s="3" t="inlineStr">
        <is>
          <t>Climatización del cuarto de servidores de la torre A área crítica por contar con equipos de comunicación operativos 24/7</t>
        </is>
      </c>
      <c r="J22" s="3" t="inlineStr">
        <is>
          <t>https://www,dropbox,com/scl/fi/wnlt33yfldc6wo0joscax/Data_CIX,png?rlkey=fmvsqv89rz8up9ygn2qdp9f6x&amp;st=5qsbjec3&amp;dl=0</t>
        </is>
      </c>
      <c r="K22" s="3" t="inlineStr">
        <is>
          <t>OK</t>
        </is>
      </c>
      <c r="L22" s="3">
        <f>SUM(M22:O22)</f>
        <v/>
      </c>
      <c r="M22" s="3" t="n">
        <v>4</v>
      </c>
      <c r="N22" s="3" t="n">
        <v>1</v>
      </c>
      <c r="O22" s="3" t="n">
        <v>4</v>
      </c>
      <c r="Q22" s="3" t="inlineStr">
        <is>
          <t>SI</t>
        </is>
      </c>
      <c r="R22" s="3" t="inlineStr">
        <is>
          <t>UTP Chiclayo</t>
        </is>
      </c>
      <c r="S22" s="3" t="n">
        <v>70120201</v>
      </c>
      <c r="T22" s="3" t="inlineStr">
        <is>
          <t>UTP AV, PROGRESO CON AV, EVITAMIENTO S/N  - CHICLAYO</t>
        </is>
      </c>
      <c r="U22" s="3" t="n">
        <v>6000</v>
      </c>
      <c r="V22" s="3" t="n">
        <v>6107.66</v>
      </c>
      <c r="W22" s="3" t="inlineStr">
        <is>
          <t>B</t>
        </is>
      </c>
      <c r="X22" s="4" t="n">
        <v>46174</v>
      </c>
      <c r="Y22" s="4" t="n">
        <v>46295</v>
      </c>
      <c r="Z22" s="6" t="n"/>
      <c r="AA22" s="6" t="n"/>
      <c r="AB22" s="3" t="inlineStr">
        <is>
          <t>EN PROCESO</t>
        </is>
      </c>
      <c r="AD22" s="3" t="inlineStr">
        <is>
          <t>Mantenimiento</t>
        </is>
      </c>
      <c r="AE22" s="3" t="inlineStr">
        <is>
          <t>SC-0000116471-2026</t>
        </is>
      </c>
      <c r="AF22" s="7" t="n">
        <v>46060</v>
      </c>
      <c r="AG22" s="3" t="inlineStr">
        <is>
          <t>SC DEVUELTA</t>
        </is>
      </c>
      <c r="AI22" s="3" t="inlineStr">
        <is>
          <t>PROY1379</t>
        </is>
      </c>
      <c r="AJ22" s="3" t="inlineStr">
        <is>
          <t>UTP_Chiclayo_Equipo AA_cuarto_servidores torre A</t>
        </is>
      </c>
      <c r="AK22" s="7" t="n">
        <v>46055</v>
      </c>
      <c r="AL22" s="3" t="inlineStr">
        <is>
          <t>ESEVERINO</t>
        </is>
      </c>
      <c r="AM22" s="3" t="inlineStr">
        <is>
          <t>Solicitud devuelta responsable no confirma obs de planos</t>
        </is>
      </c>
    </row>
    <row r="23">
      <c r="A23" s="3" t="n">
        <v>17</v>
      </c>
      <c r="B23" s="3" t="inlineStr">
        <is>
          <t>OPS_017</t>
        </is>
      </c>
      <c r="C23" s="3" t="inlineStr">
        <is>
          <t>OPS</t>
        </is>
      </c>
      <c r="D23" s="3" t="inlineStr">
        <is>
          <t xml:space="preserve">VICENTE CAYETANO RODRIGUEZ PASTOR </t>
        </is>
      </c>
      <c r="F23" s="3" t="inlineStr">
        <is>
          <t>vrodriguep@utp,edu,pe</t>
        </is>
      </c>
      <c r="G23" s="3" t="inlineStr">
        <is>
          <t>955 141 444</t>
        </is>
      </c>
      <c r="H23" s="3" t="inlineStr">
        <is>
          <t xml:space="preserve">Habilitar puntos de agua para sardinel </t>
        </is>
      </c>
      <c r="I23" s="3" t="inlineStr">
        <is>
          <t>En convenio con la municipalidad el área de sardinel fue cedida para mantenimiento actualmente al no tener punto de agua no se puede realizar, Se evidencia en el video la actual condición,</t>
        </is>
      </c>
      <c r="J23" s="3" t="inlineStr">
        <is>
          <t>Puntos de agua,mp4</t>
        </is>
      </c>
      <c r="K23" s="3" t="inlineStr">
        <is>
          <t>OK</t>
        </is>
      </c>
      <c r="L23" s="3">
        <f>SUM(M23:O23)</f>
        <v/>
      </c>
      <c r="M23" s="3" t="n">
        <v>1</v>
      </c>
      <c r="N23" s="3" t="n">
        <v>4</v>
      </c>
      <c r="O23" s="3" t="n">
        <v>3</v>
      </c>
      <c r="Q23" s="3" t="inlineStr">
        <is>
          <t>SI</t>
        </is>
      </c>
      <c r="R23" s="3" t="inlineStr">
        <is>
          <t>UTP Chimbote</t>
        </is>
      </c>
      <c r="S23" s="3" t="n">
        <v>70150101</v>
      </c>
      <c r="T23" s="3" t="inlineStr">
        <is>
          <t>UTP PASERO DEL MAR MZ C9- LT2 - CHIMBOTE</t>
        </is>
      </c>
      <c r="U23" s="3" t="n">
        <v>15000</v>
      </c>
      <c r="V23" s="3" t="n">
        <v>6107.66</v>
      </c>
      <c r="W23" s="3" t="inlineStr">
        <is>
          <t>C</t>
        </is>
      </c>
      <c r="X23" s="4" t="n">
        <v>46082</v>
      </c>
      <c r="Y23" s="4" t="n">
        <v>46203</v>
      </c>
      <c r="Z23" s="4" t="n">
        <v>46082</v>
      </c>
      <c r="AA23" s="4" t="n">
        <v>46170</v>
      </c>
      <c r="AB23" s="3" t="inlineStr">
        <is>
          <t>EJECUTADO</t>
        </is>
      </c>
      <c r="AC23" s="3" t="inlineStr">
        <is>
          <t>EJECUTADO</t>
        </is>
      </c>
      <c r="AD23" s="3" t="inlineStr">
        <is>
          <t>Mantenimiento</t>
        </is>
      </c>
      <c r="AE23" s="3" t="inlineStr">
        <is>
          <t>SC-0000116786-2026</t>
        </is>
      </c>
      <c r="AF23" s="7" t="n">
        <v>46063</v>
      </c>
      <c r="AG23" s="3" t="inlineStr">
        <is>
          <t>OC-0000122376-2026</t>
        </is>
      </c>
      <c r="AH23" s="7" t="n">
        <v>46084</v>
      </c>
      <c r="AI23" s="3" t="inlineStr">
        <is>
          <t>PROY1380</t>
        </is>
      </c>
      <c r="AJ23" s="3" t="inlineStr">
        <is>
          <t xml:space="preserve">UTP_Chimbote_Habilitar_puntos agua_sardinel </t>
        </is>
      </c>
      <c r="AK23" s="7" t="n">
        <v>46055</v>
      </c>
      <c r="AL23" s="3" t="inlineStr">
        <is>
          <t>ESEVERINO</t>
        </is>
      </c>
    </row>
    <row r="24">
      <c r="A24" s="3" t="n">
        <v>18</v>
      </c>
      <c r="B24" s="3" t="inlineStr">
        <is>
          <t>OPS_018</t>
        </is>
      </c>
      <c r="C24" s="3" t="inlineStr">
        <is>
          <t>OPS</t>
        </is>
      </c>
      <c r="D24" s="3" t="inlineStr">
        <is>
          <t>Katherine Polo</t>
        </is>
      </c>
      <c r="H24" s="3" t="inlineStr">
        <is>
          <t>Iluminación del nombre de la Universidad</t>
        </is>
      </c>
      <c r="J24" s="3" t="inlineStr">
        <is>
          <t>FOTOS NOMBRE LOGOS UTP</t>
        </is>
      </c>
      <c r="Q24" s="3" t="inlineStr">
        <is>
          <t>SI</t>
        </is>
      </c>
      <c r="R24" s="3" t="inlineStr">
        <is>
          <t>UTP Lima Sur</t>
        </is>
      </c>
      <c r="S24" s="3" t="n">
        <v>10220106</v>
      </c>
      <c r="T24" s="3" t="inlineStr">
        <is>
          <t>UTP EL TRIUNFO S/N-VILLA SALVA - LIMA</t>
        </is>
      </c>
      <c r="U24" s="3" t="inlineStr">
        <is>
          <t xml:space="preserve">                    -  </t>
        </is>
      </c>
      <c r="W24" s="3" t="inlineStr">
        <is>
          <t>B</t>
        </is>
      </c>
      <c r="X24" s="6" t="n"/>
      <c r="Y24" s="6" t="n"/>
      <c r="Z24" s="6" t="n"/>
      <c r="AA24" s="6" t="n"/>
      <c r="AB24" s="3" t="inlineStr">
        <is>
          <t>CANCELADO</t>
        </is>
      </c>
      <c r="AD24" s="3" t="inlineStr">
        <is>
          <t>Infraestructura</t>
        </is>
      </c>
    </row>
    <row r="25">
      <c r="A25" s="3" t="n">
        <v>19</v>
      </c>
      <c r="B25" s="3" t="inlineStr">
        <is>
          <t>OPS_019</t>
        </is>
      </c>
      <c r="C25" s="3" t="inlineStr">
        <is>
          <t>OPS</t>
        </is>
      </c>
      <c r="D25" s="3" t="inlineStr">
        <is>
          <t>Katherine Polo</t>
        </is>
      </c>
      <c r="H25" s="3" t="inlineStr">
        <is>
          <t>Iluminación del nombre de la Universidad</t>
        </is>
      </c>
      <c r="J25" s="3" t="inlineStr">
        <is>
          <t>FOTOS NOMBRE LOGOS UTP</t>
        </is>
      </c>
      <c r="Q25" s="3" t="inlineStr">
        <is>
          <t>SI</t>
        </is>
      </c>
      <c r="R25" s="3" t="inlineStr">
        <is>
          <t>UTP Lima Norte</t>
        </is>
      </c>
      <c r="S25" s="3" t="n">
        <v>10220111</v>
      </c>
      <c r="T25" s="3" t="inlineStr">
        <is>
          <t>UTP AV,INFANTAS MZ 2E LOTE 28, URB, STA LUISA - LOS OLIVOS</t>
        </is>
      </c>
      <c r="U25" s="3" t="n">
        <v>24250</v>
      </c>
      <c r="W25" s="3" t="inlineStr">
        <is>
          <t>B</t>
        </is>
      </c>
      <c r="X25" s="4" t="n">
        <v>46235</v>
      </c>
      <c r="Y25" s="4" t="n">
        <v>46356</v>
      </c>
      <c r="Z25" s="6" t="n"/>
      <c r="AA25" s="6" t="n"/>
      <c r="AB25" s="3" t="inlineStr">
        <is>
          <t>PENDIENTE</t>
        </is>
      </c>
      <c r="AD25" s="3" t="inlineStr">
        <is>
          <t>Infraestructura</t>
        </is>
      </c>
    </row>
    <row r="26">
      <c r="A26" s="3" t="n">
        <v>20</v>
      </c>
      <c r="B26" s="3" t="inlineStr">
        <is>
          <t>OPS_020</t>
        </is>
      </c>
      <c r="C26" s="3" t="inlineStr">
        <is>
          <t>OPS</t>
        </is>
      </c>
      <c r="D26" s="3" t="inlineStr">
        <is>
          <t>Katherine Polo</t>
        </is>
      </c>
      <c r="H26" s="3" t="inlineStr">
        <is>
          <t>Iluminación del nombre de la Universidad</t>
        </is>
      </c>
      <c r="J26" s="3" t="inlineStr">
        <is>
          <t>FOTOS NOMBRE LOGOS UTP</t>
        </is>
      </c>
      <c r="Q26" s="3" t="inlineStr">
        <is>
          <t>SI</t>
        </is>
      </c>
      <c r="R26" s="3" t="inlineStr">
        <is>
          <t>UTP Lima Centro</t>
        </is>
      </c>
      <c r="S26" s="3" t="n">
        <v>10110102</v>
      </c>
      <c r="T26" s="3" t="inlineStr">
        <is>
          <t>UTP AREQUIPA 660- 670 - LIMA</t>
        </is>
      </c>
      <c r="U26" s="3" t="n">
        <v>24250</v>
      </c>
      <c r="W26" s="3" t="inlineStr">
        <is>
          <t>B</t>
        </is>
      </c>
      <c r="X26" s="4" t="n">
        <v>46235</v>
      </c>
      <c r="Y26" s="4" t="n">
        <v>46356</v>
      </c>
      <c r="Z26" s="6" t="n"/>
      <c r="AA26" s="6" t="n"/>
      <c r="AB26" s="3" t="inlineStr">
        <is>
          <t>PENDIENTE</t>
        </is>
      </c>
      <c r="AD26" s="3" t="inlineStr">
        <is>
          <t>Infraestructura</t>
        </is>
      </c>
      <c r="AM26" s="3" t="inlineStr">
        <is>
          <t>Pendiente en consulta</t>
        </is>
      </c>
    </row>
    <row r="27">
      <c r="A27" s="3" t="n">
        <v>21</v>
      </c>
      <c r="B27" s="3" t="inlineStr">
        <is>
          <t>OPS_021</t>
        </is>
      </c>
      <c r="C27" s="3" t="inlineStr">
        <is>
          <t>OPS</t>
        </is>
      </c>
      <c r="D27" s="3" t="inlineStr">
        <is>
          <t>Katherine Polo</t>
        </is>
      </c>
      <c r="H27" s="3" t="inlineStr">
        <is>
          <t>Iluminación del nombre de la Universidad</t>
        </is>
      </c>
      <c r="I27" s="3" t="inlineStr">
        <is>
          <t>Las letras negras "Universidad Tecnológica del Perú" sin iluminación pasan desapercibidas en la noche, En SJL ATE si están iluminadas</t>
        </is>
      </c>
      <c r="J27" s="3" t="inlineStr">
        <is>
          <t>FOTOS NOMBRE LOGOS UTP</t>
        </is>
      </c>
      <c r="K27" s="3" t="inlineStr">
        <is>
          <t>OK</t>
        </is>
      </c>
      <c r="L27" s="3">
        <f>SUM(M27:O27)</f>
        <v/>
      </c>
      <c r="M27" s="3" t="n">
        <v>2</v>
      </c>
      <c r="N27" s="3" t="n">
        <v>5</v>
      </c>
      <c r="O27" s="3" t="n">
        <v>2</v>
      </c>
      <c r="P27" s="3" t="inlineStr">
        <is>
          <t>OK para evaluar poner iluminación con reflectores</t>
        </is>
      </c>
      <c r="Q27" s="3" t="inlineStr">
        <is>
          <t>SI</t>
        </is>
      </c>
      <c r="R27" s="3" t="inlineStr">
        <is>
          <t>UTP Lima Centro</t>
        </is>
      </c>
      <c r="S27" s="3" t="n">
        <v>10110204</v>
      </c>
      <c r="T27" s="3" t="inlineStr">
        <is>
          <t>UTP PETIT THOU383-385-TORRE II - LIMA</t>
        </is>
      </c>
      <c r="U27" s="3" t="n">
        <v>24250</v>
      </c>
      <c r="W27" s="3" t="inlineStr">
        <is>
          <t>B</t>
        </is>
      </c>
      <c r="X27" s="4" t="n">
        <v>46235</v>
      </c>
      <c r="Y27" s="4" t="n">
        <v>46356</v>
      </c>
      <c r="Z27" s="6" t="n"/>
      <c r="AA27" s="6" t="n"/>
      <c r="AB27" s="3" t="inlineStr">
        <is>
          <t>PENDIENTE</t>
        </is>
      </c>
      <c r="AD27" s="3" t="inlineStr">
        <is>
          <t>Infraestructura</t>
        </is>
      </c>
    </row>
    <row r="28">
      <c r="A28" s="3" t="n">
        <v>22</v>
      </c>
      <c r="B28" s="3" t="inlineStr">
        <is>
          <t>OPS_022</t>
        </is>
      </c>
      <c r="C28" s="3" t="inlineStr">
        <is>
          <t>OPS</t>
        </is>
      </c>
      <c r="D28" s="3" t="inlineStr">
        <is>
          <t>Gustavo Mallaupoma</t>
        </is>
      </c>
      <c r="H28" s="3" t="inlineStr">
        <is>
          <t>Impermeabilización de los pisos de todos los baños de la torre</t>
        </is>
      </c>
      <c r="I28" s="3" t="inlineStr">
        <is>
          <t xml:space="preserve">Existen filtraciones de agua hacia pisos inferiores en los SSHH del campus cuando se ejecuta la limpieza de los mismos por parte de Limtek, Esto genera daño a las baldosas lo cual implica estar cambiandolas constantemente, </t>
        </is>
      </c>
      <c r="J28" s="3" t="inlineStr">
        <is>
          <t>https://www,dropbox,com/scl/fi/ji89dac31y2yls6rsyl4m/Huancayo_Mejoras,pptx?rlkey=sdwbvs1liw2b8mgovq0bq8nn5&amp;st=q1lvojps&amp;dl=0</t>
        </is>
      </c>
      <c r="K28" s="3" t="inlineStr">
        <is>
          <t>OK</t>
        </is>
      </c>
      <c r="L28" s="3">
        <f>SUM(M28:O28)</f>
        <v/>
      </c>
      <c r="M28" s="3" t="n">
        <v>3</v>
      </c>
      <c r="N28" s="3" t="n">
        <v>4</v>
      </c>
      <c r="O28" s="3" t="n">
        <v>5</v>
      </c>
      <c r="Q28" s="3" t="inlineStr">
        <is>
          <t>SI</t>
        </is>
      </c>
      <c r="R28" s="3" t="inlineStr">
        <is>
          <t>UTP Huancayo</t>
        </is>
      </c>
      <c r="S28" s="3" t="n">
        <v>70190101</v>
      </c>
      <c r="T28" s="3" t="inlineStr">
        <is>
          <t>UTP AV,CIRCUNVALACIÓN 449 - HUANCAYO</t>
        </is>
      </c>
      <c r="U28" s="3" t="n">
        <v>13000</v>
      </c>
      <c r="V28" s="3" t="n">
        <v>13919.28</v>
      </c>
      <c r="W28" s="3" t="inlineStr">
        <is>
          <t>A</t>
        </is>
      </c>
      <c r="X28" s="4" t="n">
        <v>46082</v>
      </c>
      <c r="Y28" s="4" t="n">
        <v>46111</v>
      </c>
      <c r="Z28" s="4" t="n">
        <v>46082</v>
      </c>
      <c r="AA28" s="4" t="n">
        <v>46111</v>
      </c>
      <c r="AB28" s="3" t="inlineStr">
        <is>
          <t>EJECUTADO</t>
        </is>
      </c>
      <c r="AC28" s="3" t="inlineStr">
        <is>
          <t>EJECUTADO</t>
        </is>
      </c>
      <c r="AD28" s="3" t="inlineStr">
        <is>
          <t>Mantenimiento</t>
        </is>
      </c>
      <c r="AE28" s="3" t="inlineStr">
        <is>
          <t>SC-0000118739-2026</t>
        </is>
      </c>
      <c r="AF28" s="7" t="n">
        <v>46081</v>
      </c>
      <c r="AG28" s="3" t="inlineStr">
        <is>
          <t>OC-0000123888-2026</t>
        </is>
      </c>
      <c r="AH28" s="7" t="n">
        <v>46097</v>
      </c>
      <c r="AI28" s="3" t="inlineStr">
        <is>
          <t>MEJ00192</t>
        </is>
      </c>
      <c r="AJ28" s="3" t="inlineStr">
        <is>
          <t>UTP_Hcyo_Impermeabilizacion _pisos_baños_torre</t>
        </is>
      </c>
      <c r="AK28" s="7" t="n">
        <v>46055</v>
      </c>
      <c r="AL28" s="3" t="inlineStr">
        <is>
          <t>ESEVERINO</t>
        </is>
      </c>
    </row>
    <row r="29">
      <c r="A29" s="3" t="n">
        <v>23</v>
      </c>
      <c r="B29" s="3" t="inlineStr">
        <is>
          <t>OPS_023</t>
        </is>
      </c>
      <c r="C29" s="3" t="inlineStr">
        <is>
          <t>OPS</t>
        </is>
      </c>
      <c r="D29" s="3" t="inlineStr">
        <is>
          <t>Ricardo Jacobo</t>
        </is>
      </c>
      <c r="H29" s="3" t="inlineStr">
        <is>
          <t xml:space="preserve">Impermeabilización y revestimiento de azotea </t>
        </is>
      </c>
      <c r="I29" s="3" t="inlineStr">
        <is>
          <t xml:space="preserve">Para evitar las filtraciones es necesario contar con una impermeabilización de toda la azotea completa, No tiene impermeabilización  y presenta filtraciones constantes , En el  Bloque C han parchado por zonas puntuales cuando han habido filtraciones </t>
        </is>
      </c>
      <c r="J29" s="3" t="n">
        <v>3</v>
      </c>
      <c r="K29" s="3" t="inlineStr">
        <is>
          <t>OK</t>
        </is>
      </c>
      <c r="L29" s="3">
        <f>SUM(M29:O29)</f>
        <v/>
      </c>
      <c r="M29" s="3" t="n">
        <v>1</v>
      </c>
      <c r="N29" s="3" t="n">
        <v>5</v>
      </c>
      <c r="O29" s="3" t="n">
        <v>3</v>
      </c>
      <c r="P29" s="3" t="inlineStr">
        <is>
          <t>OK para evaluar</t>
        </is>
      </c>
      <c r="Q29" s="3" t="inlineStr">
        <is>
          <t>SI</t>
        </is>
      </c>
      <c r="R29" s="3" t="inlineStr">
        <is>
          <t>UTP Lima Sur</t>
        </is>
      </c>
      <c r="S29" s="3" t="n">
        <v>10220106</v>
      </c>
      <c r="T29" s="3" t="inlineStr">
        <is>
          <t>UTP EL TRIUNFO S/N-VILLA SALVA - LIMA</t>
        </is>
      </c>
      <c r="U29" s="3" t="n">
        <v>140000</v>
      </c>
      <c r="W29" s="3" t="inlineStr">
        <is>
          <t>B</t>
        </is>
      </c>
      <c r="X29" s="4" t="n">
        <v>46235</v>
      </c>
      <c r="Y29" s="4" t="n">
        <v>46356</v>
      </c>
      <c r="Z29" s="6" t="n"/>
      <c r="AA29" s="6" t="n"/>
      <c r="AB29" s="3" t="inlineStr">
        <is>
          <t>PENDIENTE</t>
        </is>
      </c>
      <c r="AD29" s="3" t="inlineStr">
        <is>
          <t>Infraestructura</t>
        </is>
      </c>
      <c r="AM29" s="3" t="inlineStr">
        <is>
          <t>Se modificó monto de 160K a 140K</t>
        </is>
      </c>
      <c r="AO29" s="3" t="inlineStr">
        <is>
          <t xml:space="preserve">Revisar cambiar de monto </t>
        </is>
      </c>
    </row>
    <row r="30">
      <c r="A30" s="3" t="n">
        <v>24</v>
      </c>
      <c r="B30" s="3" t="inlineStr">
        <is>
          <t>OPS_024</t>
        </is>
      </c>
      <c r="C30" s="3" t="inlineStr">
        <is>
          <t>OPS</t>
        </is>
      </c>
      <c r="D30" s="3" t="inlineStr">
        <is>
          <t>Eloy Pocohuanca/Carlos S,</t>
        </is>
      </c>
      <c r="F30" s="3" t="inlineStr">
        <is>
          <t>epocohuanc@utp,edu,pe</t>
        </is>
      </c>
      <c r="G30" s="3" t="inlineStr">
        <is>
          <t>937 029 622</t>
        </is>
      </c>
      <c r="H30" s="3" t="inlineStr">
        <is>
          <t>Implemenrar área libre  para alumnos en el  sum del piso 15 Torre 2, Local no tiene áreas libres para alumnos</t>
        </is>
      </c>
      <c r="I30" s="3" t="inlineStr">
        <is>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is>
      </c>
      <c r="J30" s="3" t="inlineStr">
        <is>
          <t>https://www,dropbox,com/scl/fo/045w1pv87upfjolydrkn3/APvbKb6m3Z9c9rvOZuyvhSI?rlkey=flxw6v94kr6egfxz6leroshzj&amp;st=fps3xzwp&amp;dl=0</t>
        </is>
      </c>
      <c r="K30" s="3" t="inlineStr">
        <is>
          <t>OK</t>
        </is>
      </c>
      <c r="L30" s="3">
        <f>SUM(M30:O30)</f>
        <v/>
      </c>
      <c r="M30" s="3" t="n">
        <v>5</v>
      </c>
      <c r="N30" s="3" t="n">
        <v>5</v>
      </c>
      <c r="O30" s="3" t="n">
        <v>1</v>
      </c>
      <c r="Q30" s="3" t="inlineStr">
        <is>
          <t>SI</t>
        </is>
      </c>
      <c r="R30" s="3" t="inlineStr">
        <is>
          <t>UTP Lima Centro</t>
        </is>
      </c>
      <c r="S30" s="3" t="n">
        <v>10110204</v>
      </c>
      <c r="T30" s="3" t="inlineStr">
        <is>
          <t>UTP PETIT THOU383-385-TORRE II - LIMA</t>
        </is>
      </c>
      <c r="U30" s="3" t="n">
        <v>20000</v>
      </c>
      <c r="W30" s="3" t="inlineStr">
        <is>
          <t>A</t>
        </is>
      </c>
      <c r="X30" s="4" t="n">
        <v>46266</v>
      </c>
      <c r="Y30" s="4" t="n">
        <v>46326</v>
      </c>
      <c r="Z30" s="6" t="n"/>
      <c r="AA30" s="6" t="n"/>
      <c r="AB30" s="3" t="inlineStr">
        <is>
          <t>PENDIENTE</t>
        </is>
      </c>
      <c r="AD30" s="3" t="inlineStr">
        <is>
          <t>Proyectos Ops</t>
        </is>
      </c>
      <c r="AE30" s="3" t="inlineStr">
        <is>
          <t>SC-0000143394-2026</t>
        </is>
      </c>
      <c r="AF30" s="7" t="n">
        <v>46274</v>
      </c>
      <c r="AI30" s="3" t="inlineStr">
        <is>
          <t>PROY1381</t>
        </is>
      </c>
      <c r="AJ30" s="3" t="inlineStr">
        <is>
          <t>UTP_PTT_383-385_Implementar_area libre_alumnos_piso 15 Torre 2</t>
        </is>
      </c>
      <c r="AK30" s="7" t="n">
        <v>46055</v>
      </c>
      <c r="AL30" s="3" t="inlineStr">
        <is>
          <t>ESEVERINO</t>
        </is>
      </c>
      <c r="AM30" s="3" t="inlineStr">
        <is>
          <t>Conversar con Jossi coordina Julio</t>
        </is>
      </c>
    </row>
    <row r="31">
      <c r="A31" s="3" t="n">
        <v>25</v>
      </c>
      <c r="B31" s="3" t="inlineStr">
        <is>
          <t>OPS_025</t>
        </is>
      </c>
      <c r="C31" s="3" t="inlineStr">
        <is>
          <t>OPS</t>
        </is>
      </c>
      <c r="D31" s="3" t="inlineStr">
        <is>
          <t>Marco Bonifaz</t>
        </is>
      </c>
      <c r="H31" s="3" t="inlineStr">
        <is>
          <t>Implementación de almacén en azotea</t>
        </is>
      </c>
      <c r="P31" s="3" t="inlineStr">
        <is>
          <t>OK a evaluar se debe tener en cuanta trámite de conformidad d eobra en curso</t>
        </is>
      </c>
      <c r="Q31" s="3" t="inlineStr">
        <is>
          <t>SI</t>
        </is>
      </c>
      <c r="R31" s="3" t="inlineStr">
        <is>
          <t>UTP Piura</t>
        </is>
      </c>
      <c r="S31" s="3" t="n">
        <v>70170101</v>
      </c>
      <c r="T31" s="3" t="inlineStr">
        <is>
          <t>UTP AV,PANAMERICANA 234 -PIURA</t>
        </is>
      </c>
      <c r="U31" s="3" t="n">
        <v>80000</v>
      </c>
      <c r="W31" s="3" t="inlineStr">
        <is>
          <t>B</t>
        </is>
      </c>
      <c r="X31" s="4" t="n">
        <v>46235</v>
      </c>
      <c r="Y31" s="4" t="n">
        <v>46356</v>
      </c>
      <c r="Z31" s="6" t="n"/>
      <c r="AA31" s="6" t="n"/>
      <c r="AB31" s="3" t="inlineStr">
        <is>
          <t>PENDIENTE</t>
        </is>
      </c>
      <c r="AD31" s="3" t="inlineStr">
        <is>
          <t>Infraestructura</t>
        </is>
      </c>
    </row>
    <row r="32">
      <c r="A32" s="3" t="n">
        <v>26</v>
      </c>
      <c r="B32" s="3" t="inlineStr">
        <is>
          <t>OPS_026</t>
        </is>
      </c>
      <c r="C32" s="3" t="inlineStr">
        <is>
          <t>OPS</t>
        </is>
      </c>
      <c r="D32" s="3" t="inlineStr">
        <is>
          <t>Marco Bonifaz</t>
        </is>
      </c>
      <c r="H32" s="3" t="inlineStr">
        <is>
          <t>Implementación de depósito adicional</t>
        </is>
      </c>
      <c r="I32" s="3" t="inlineStr">
        <is>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is>
      </c>
      <c r="Q32" s="3" t="inlineStr">
        <is>
          <t>SI</t>
        </is>
      </c>
      <c r="R32" s="3" t="inlineStr">
        <is>
          <t>UTP Huancayo</t>
        </is>
      </c>
      <c r="S32" s="3" t="n">
        <v>70190101</v>
      </c>
      <c r="T32" s="3" t="inlineStr">
        <is>
          <t>UTP AV,CIRCUNVALACIÓN 449 - HUANCAYO</t>
        </is>
      </c>
      <c r="U32" s="3" t="n">
        <v>15000</v>
      </c>
      <c r="W32" s="3" t="inlineStr">
        <is>
          <t>B</t>
        </is>
      </c>
      <c r="X32" s="4" t="n">
        <v>46235</v>
      </c>
      <c r="Y32" s="4" t="n">
        <v>46356</v>
      </c>
      <c r="Z32" s="6" t="n"/>
      <c r="AA32" s="6" t="n"/>
      <c r="AB32" s="3" t="inlineStr">
        <is>
          <t>PENDIENTE</t>
        </is>
      </c>
      <c r="AD32" s="3" t="inlineStr">
        <is>
          <t>Infraestructura</t>
        </is>
      </c>
    </row>
    <row r="33">
      <c r="A33" s="3" t="n">
        <v>27</v>
      </c>
      <c r="B33" s="3" t="inlineStr">
        <is>
          <t>OPS_027</t>
        </is>
      </c>
      <c r="C33" s="3" t="inlineStr">
        <is>
          <t>OPS</t>
        </is>
      </c>
      <c r="D33" s="3" t="inlineStr">
        <is>
          <t>Gustavo Mallaupoma</t>
        </is>
      </c>
      <c r="H33" s="3" t="inlineStr">
        <is>
          <t>Implementación de puntos eléctricos en el patio</t>
        </is>
      </c>
      <c r="I33" s="3" t="inlineStr">
        <is>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is>
      </c>
      <c r="J33" s="3" t="inlineStr">
        <is>
          <t>Fotos para mejoras 1,pptx</t>
        </is>
      </c>
      <c r="K33" s="3" t="inlineStr">
        <is>
          <t>OK</t>
        </is>
      </c>
      <c r="L33" s="3">
        <f>SUM(M33:O33)</f>
        <v/>
      </c>
      <c r="M33" s="3" t="n">
        <v>4</v>
      </c>
      <c r="N33" s="3" t="n">
        <v>2</v>
      </c>
      <c r="O33" s="3" t="n">
        <v>4</v>
      </c>
      <c r="Q33" s="3" t="inlineStr">
        <is>
          <t>SI</t>
        </is>
      </c>
      <c r="R33" s="3" t="inlineStr">
        <is>
          <t>UTP Huancayo</t>
        </is>
      </c>
      <c r="S33" s="3" t="n">
        <v>70190101</v>
      </c>
      <c r="T33" s="3" t="inlineStr">
        <is>
          <t>UTP AV,CIRCUNVALACIÓN 449 - HUANCAYO</t>
        </is>
      </c>
      <c r="U33" s="3" t="n">
        <v>18000</v>
      </c>
      <c r="V33" s="3" t="n">
        <v>12991.8</v>
      </c>
      <c r="W33" s="3" t="inlineStr">
        <is>
          <t>A</t>
        </is>
      </c>
      <c r="X33" s="4" t="n">
        <v>46082</v>
      </c>
      <c r="Y33" s="4" t="n">
        <v>46082</v>
      </c>
      <c r="Z33" s="4" t="n">
        <v>46082</v>
      </c>
      <c r="AA33" s="4" t="n">
        <v>46111</v>
      </c>
      <c r="AB33" s="3" t="inlineStr">
        <is>
          <t>EJECUTADO</t>
        </is>
      </c>
      <c r="AC33" s="3" t="inlineStr">
        <is>
          <t>EJECUTADO</t>
        </is>
      </c>
      <c r="AD33" s="3" t="inlineStr">
        <is>
          <t>Mantenimiento</t>
        </is>
      </c>
      <c r="AE33" s="3" t="inlineStr">
        <is>
          <t>SC-0000118740-2026</t>
        </is>
      </c>
      <c r="AF33" s="7" t="n">
        <v>46081</v>
      </c>
      <c r="AG33" s="3" t="inlineStr">
        <is>
          <t>OC-0000123883-2026</t>
        </is>
      </c>
      <c r="AH33" s="7" t="n">
        <v>46097</v>
      </c>
      <c r="AI33" s="3" t="inlineStr">
        <is>
          <t>MEJ00193</t>
        </is>
      </c>
      <c r="AJ33" s="3" t="inlineStr">
        <is>
          <t>UTP_Hcyo_Implementacion_puntos electricos_patio</t>
        </is>
      </c>
      <c r="AK33" s="7" t="n">
        <v>46055</v>
      </c>
      <c r="AL33" s="3" t="inlineStr">
        <is>
          <t>ESEVERINO</t>
        </is>
      </c>
    </row>
    <row r="34">
      <c r="A34" s="3" t="n">
        <v>28</v>
      </c>
      <c r="B34" s="3" t="inlineStr">
        <is>
          <t>OPS_028</t>
        </is>
      </c>
      <c r="C34" s="3" t="inlineStr">
        <is>
          <t>OPS</t>
        </is>
      </c>
      <c r="D34" s="3" t="inlineStr">
        <is>
          <t>Gustavo Mallaupoma</t>
        </is>
      </c>
      <c r="H34" s="3" t="inlineStr">
        <is>
          <t>Implementación de sumideros en el laboratorio de procesos industriales</t>
        </is>
      </c>
      <c r="I34" s="3" t="inlineStr">
        <is>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is>
      </c>
      <c r="J34" s="3" t="inlineStr">
        <is>
          <t>Fotos para mejoras 1,pptx</t>
        </is>
      </c>
      <c r="K34" s="3" t="inlineStr">
        <is>
          <t>OK</t>
        </is>
      </c>
      <c r="L34" s="3">
        <f>SUM(M34:O34)</f>
        <v/>
      </c>
      <c r="M34" s="3" t="n">
        <v>4</v>
      </c>
      <c r="N34" s="3" t="n">
        <v>2</v>
      </c>
      <c r="O34" s="3" t="n">
        <v>4</v>
      </c>
      <c r="Q34" s="3" t="inlineStr">
        <is>
          <t>SI</t>
        </is>
      </c>
      <c r="R34" s="3" t="inlineStr">
        <is>
          <t>UTP Huancayo</t>
        </is>
      </c>
      <c r="S34" s="3" t="n">
        <v>70190101</v>
      </c>
      <c r="T34" s="3" t="inlineStr">
        <is>
          <t>UTP AV,CIRCUNVALACIÓN 449 - HUANCAYO</t>
        </is>
      </c>
      <c r="U34" s="3" t="n">
        <v>10000</v>
      </c>
      <c r="V34" s="3" t="n">
        <v>8510.48</v>
      </c>
      <c r="W34" s="3" t="inlineStr">
        <is>
          <t>A</t>
        </is>
      </c>
      <c r="X34" s="4" t="n">
        <v>46082</v>
      </c>
      <c r="Y34" s="4" t="n">
        <v>46172</v>
      </c>
      <c r="Z34" s="4" t="n">
        <v>46082</v>
      </c>
      <c r="AA34" s="4" t="n">
        <v>46172</v>
      </c>
      <c r="AB34" s="3" t="inlineStr">
        <is>
          <t>EJECUTADO</t>
        </is>
      </c>
      <c r="AC34" s="3" t="inlineStr">
        <is>
          <t>EJECUTADO</t>
        </is>
      </c>
      <c r="AD34" s="3" t="inlineStr">
        <is>
          <t>Mantenimiento</t>
        </is>
      </c>
      <c r="AE34" s="3" t="inlineStr">
        <is>
          <t>SC-0000118741-2026</t>
        </is>
      </c>
      <c r="AF34" s="7" t="n">
        <v>46081</v>
      </c>
      <c r="AG34" s="3" t="inlineStr">
        <is>
          <t>OC-0000123225-2026</t>
        </is>
      </c>
      <c r="AH34" s="7" t="n">
        <v>46091</v>
      </c>
      <c r="AI34" s="3" t="inlineStr">
        <is>
          <t>MEJ00194</t>
        </is>
      </c>
      <c r="AJ34" s="3" t="inlineStr">
        <is>
          <t>UTP_Hcyo_Implementacion_sumideros_laboratorio</t>
        </is>
      </c>
      <c r="AK34" s="7" t="n">
        <v>46055</v>
      </c>
      <c r="AL34" s="3" t="inlineStr">
        <is>
          <t>ESEVERINO</t>
        </is>
      </c>
    </row>
    <row r="35">
      <c r="A35" s="3" t="n">
        <v>29</v>
      </c>
      <c r="B35" s="3" t="inlineStr">
        <is>
          <t>OPS_029</t>
        </is>
      </c>
      <c r="C35" s="3" t="inlineStr">
        <is>
          <t>OPS</t>
        </is>
      </c>
      <c r="D35" s="3" t="inlineStr">
        <is>
          <t>Eloy / Raul</t>
        </is>
      </c>
      <c r="H35" s="3" t="inlineStr">
        <is>
          <t xml:space="preserve">Implementación de tomacorrientes para mesas de salas de estudio  en biblioteca </t>
        </is>
      </c>
      <c r="I35" s="3" t="inlineStr">
        <is>
          <t>Suminstro e instalación de 48 puntos de energia</t>
        </is>
      </c>
      <c r="J35" s="3" t="inlineStr">
        <is>
          <t>Tacna y Arica – Mesas biblioteca,pdf</t>
        </is>
      </c>
      <c r="K35" s="3" t="inlineStr">
        <is>
          <t>OK</t>
        </is>
      </c>
      <c r="L35" s="3">
        <f>SUM(M35:O35)</f>
        <v/>
      </c>
      <c r="M35" s="3" t="n">
        <v>4</v>
      </c>
      <c r="N35" s="3" t="n">
        <v>3</v>
      </c>
      <c r="O35" s="3" t="n">
        <v>4</v>
      </c>
      <c r="Q35" s="3" t="inlineStr">
        <is>
          <t>SI</t>
        </is>
      </c>
      <c r="R35" s="3" t="inlineStr">
        <is>
          <t>UTP Arequipa</t>
        </is>
      </c>
      <c r="S35" s="3" t="n">
        <v>70110101</v>
      </c>
      <c r="T35" s="3" t="inlineStr">
        <is>
          <t>UTP TACNA-ARICA 158-160-162 - AREQUIPA</t>
        </is>
      </c>
      <c r="U35" s="3" t="n">
        <v>20000</v>
      </c>
      <c r="W35" s="3" t="inlineStr">
        <is>
          <t>A</t>
        </is>
      </c>
      <c r="X35" s="4" t="n">
        <v>46203</v>
      </c>
      <c r="Y35" s="4" t="n">
        <v>46325</v>
      </c>
      <c r="Z35" s="6" t="n"/>
      <c r="AA35" s="6" t="n"/>
      <c r="AB35" s="3" t="inlineStr">
        <is>
          <t>PENDIENTE</t>
        </is>
      </c>
      <c r="AD35" s="3" t="inlineStr">
        <is>
          <t>Proyectos Ops / Mantenimiento</t>
        </is>
      </c>
      <c r="AE35" s="3" t="inlineStr">
        <is>
          <t>SC-0000118273-2026</t>
        </is>
      </c>
      <c r="AF35" s="7" t="n">
        <v>46077</v>
      </c>
      <c r="AG35" s="3" t="inlineStr">
        <is>
          <t>SC DEVUELTA</t>
        </is>
      </c>
      <c r="AI35" s="3" t="inlineStr">
        <is>
          <t>MEJ00195</t>
        </is>
      </c>
      <c r="AJ35" s="3" t="inlineStr">
        <is>
          <t xml:space="preserve">UTP_Arq  158-160_Implementacion_tomacorrientes_mesas_biblioteca </t>
        </is>
      </c>
      <c r="AK35" s="7" t="n">
        <v>46055</v>
      </c>
      <c r="AL35" s="3" t="inlineStr">
        <is>
          <t>ESEVERINO</t>
        </is>
      </c>
      <c r="AM35" s="3" t="inlineStr">
        <is>
          <t>SC devuelta a la espera de nuevo alcance</t>
        </is>
      </c>
      <c r="AP35" s="3" t="inlineStr">
        <is>
          <t>ELOY</t>
        </is>
      </c>
    </row>
    <row r="36">
      <c r="A36" s="3" t="n">
        <v>31</v>
      </c>
      <c r="B36" s="3" t="inlineStr">
        <is>
          <t>OPS_030</t>
        </is>
      </c>
      <c r="C36" s="3" t="inlineStr">
        <is>
          <t>OPS</t>
        </is>
      </c>
      <c r="D36" s="3" t="inlineStr">
        <is>
          <t>Eloy / Raul</t>
        </is>
      </c>
      <c r="H36" s="3" t="inlineStr">
        <is>
          <t xml:space="preserve">Implementación de tomacorrientes para mesas de salas de estudio  en biblioteca </t>
        </is>
      </c>
      <c r="I36" s="3" t="inlineStr">
        <is>
          <t>Renovación de mobiliario con integración de puntos eléctricos retráctiles en mesas de trabajo (sala lectura 01) y el sala lectura 2 se mantiene el mobiliario</t>
        </is>
      </c>
      <c r="J36" s="3" t="inlineStr">
        <is>
          <t>https://utpedupe,sharepoint,com/:f:/s/OperacionesCIX/EuVMG6DEAQZNp7fh5H-BPcIBEBuJg4Cyzmy5w2K40DH5-g?e=sAAUob</t>
        </is>
      </c>
      <c r="K36" s="3" t="inlineStr">
        <is>
          <t>OK</t>
        </is>
      </c>
      <c r="L36" s="3">
        <f>SUM(M36:O36)</f>
        <v/>
      </c>
      <c r="M36" s="3" t="n">
        <v>4</v>
      </c>
      <c r="N36" s="3" t="n">
        <v>3</v>
      </c>
      <c r="O36" s="3" t="n">
        <v>4</v>
      </c>
      <c r="Q36" s="3" t="inlineStr">
        <is>
          <t>SI</t>
        </is>
      </c>
      <c r="R36" s="3" t="inlineStr">
        <is>
          <t>UTP Chiclayo</t>
        </is>
      </c>
      <c r="S36" s="3" t="n">
        <v>70120201</v>
      </c>
      <c r="T36" s="3" t="inlineStr">
        <is>
          <t>UTP AV, PROGRESO CON AV, EVITAMIENTO S/N  - CHICLAYO</t>
        </is>
      </c>
      <c r="U36" s="3" t="n">
        <v>21000</v>
      </c>
      <c r="V36" s="3" t="n">
        <v>21000</v>
      </c>
      <c r="W36" s="3" t="inlineStr">
        <is>
          <t>A</t>
        </is>
      </c>
      <c r="X36" s="4" t="n">
        <v>46174</v>
      </c>
      <c r="Y36" s="4" t="n">
        <v>46264</v>
      </c>
      <c r="Z36" s="6" t="n"/>
      <c r="AA36" s="6" t="n"/>
      <c r="AB36" s="3" t="inlineStr">
        <is>
          <t>EJECUTADO</t>
        </is>
      </c>
      <c r="AC36" s="3" t="inlineStr">
        <is>
          <t>PENDIENTE</t>
        </is>
      </c>
      <c r="AD36" s="3" t="inlineStr">
        <is>
          <t>Proyectos Ops / Mantenimiento</t>
        </is>
      </c>
      <c r="AE36" s="3" t="inlineStr">
        <is>
          <t>SC-0000137984-2026</t>
        </is>
      </c>
      <c r="AF36" s="7" t="n">
        <v>46225</v>
      </c>
      <c r="AG36" s="3" t="inlineStr">
        <is>
          <t>OC-0000142670-2026</t>
        </is>
      </c>
      <c r="AH36" s="7" t="n">
        <v>46100</v>
      </c>
      <c r="AI36" s="3" t="inlineStr">
        <is>
          <t>MEJ00196</t>
        </is>
      </c>
      <c r="AJ36" s="3" t="inlineStr">
        <is>
          <t xml:space="preserve">UTP_Chiclayo_Implementacion_tomacorrientes_mesas_biblioteca </t>
        </is>
      </c>
      <c r="AK36" s="7" t="n">
        <v>46055</v>
      </c>
      <c r="AL36" s="3" t="inlineStr">
        <is>
          <t>ESEVERINO</t>
        </is>
      </c>
      <c r="AM36" s="3" t="inlineStr">
        <is>
          <t xml:space="preserve">Se canceló OC-0000124398-2026  por nuevo alcance/ OC-0000142670-2026 nr </t>
        </is>
      </c>
    </row>
    <row r="37">
      <c r="A37" s="3" t="n">
        <v>32</v>
      </c>
      <c r="B37" s="3" t="inlineStr">
        <is>
          <t>OPS_031</t>
        </is>
      </c>
      <c r="C37" s="3" t="inlineStr">
        <is>
          <t>OPS</t>
        </is>
      </c>
      <c r="D37" s="3" t="inlineStr">
        <is>
          <t>Eloy / Raul</t>
        </is>
      </c>
      <c r="H37" s="3" t="inlineStr">
        <is>
          <t xml:space="preserve">Implementación de tomacorrientes para mesas de salas de estudio  en biblioteca </t>
        </is>
      </c>
      <c r="I37" s="3" t="inlineStr">
        <is>
          <t>Se adjunta cotización para energizar 10 mesas con toma eléctrica doble (20 puntos de energía)</t>
        </is>
      </c>
      <c r="J37" s="3" t="inlineStr">
        <is>
          <t>https://utpedupe-my,sharepoint,com/:i:/g/personal/etirado_utp_edu_pe/Eb8rAbMwJuBHi885UHeD0T0BSpgRhLu8HVJCDLvxjOF6IA?e=QkVs4N</t>
        </is>
      </c>
      <c r="K37" s="3" t="inlineStr">
        <is>
          <t>OK</t>
        </is>
      </c>
      <c r="L37" s="3">
        <f>SUM(M37:O37)</f>
        <v/>
      </c>
      <c r="M37" s="3" t="n">
        <v>4</v>
      </c>
      <c r="N37" s="3" t="n">
        <v>3</v>
      </c>
      <c r="O37" s="3" t="n">
        <v>4</v>
      </c>
      <c r="Q37" s="3" t="inlineStr">
        <is>
          <t>SI</t>
        </is>
      </c>
      <c r="R37" s="3" t="inlineStr">
        <is>
          <t>UTP Chimbote</t>
        </is>
      </c>
      <c r="S37" s="3" t="n">
        <v>70150101</v>
      </c>
      <c r="T37" s="3" t="inlineStr">
        <is>
          <t>UTP PASERO DEL MAR MZ C9- LT2 - CHIMBOTE</t>
        </is>
      </c>
      <c r="U37" s="3" t="n">
        <v>15800</v>
      </c>
      <c r="V37" s="3" t="n">
        <v>15444.22</v>
      </c>
      <c r="W37" s="3" t="inlineStr">
        <is>
          <t>A</t>
        </is>
      </c>
      <c r="X37" s="4" t="n">
        <v>46082</v>
      </c>
      <c r="Y37" s="4" t="n">
        <v>46203</v>
      </c>
      <c r="Z37" s="4" t="n">
        <v>46082</v>
      </c>
      <c r="AA37" s="4" t="n">
        <v>46143</v>
      </c>
      <c r="AB37" s="3" t="inlineStr">
        <is>
          <t>EJECUTADO</t>
        </is>
      </c>
      <c r="AC37" s="3" t="inlineStr">
        <is>
          <t>PENDIENTE</t>
        </is>
      </c>
      <c r="AD37" s="3" t="inlineStr">
        <is>
          <t>Proyectos Ops / Mantenimiento</t>
        </is>
      </c>
      <c r="AE37" s="3" t="inlineStr">
        <is>
          <t>SC-0000118552-2026</t>
        </is>
      </c>
      <c r="AF37" s="7" t="n">
        <v>46079</v>
      </c>
      <c r="AG37" s="3" t="inlineStr">
        <is>
          <t>OC-0000124582-2026</t>
        </is>
      </c>
      <c r="AH37" s="7" t="n">
        <v>46102</v>
      </c>
      <c r="AI37" s="3" t="inlineStr">
        <is>
          <t>MEJ00197</t>
        </is>
      </c>
      <c r="AJ37" s="3" t="inlineStr">
        <is>
          <t xml:space="preserve">UTP_Chimbote_Implementacion_tomacorrientes_mesas_biblioteca </t>
        </is>
      </c>
      <c r="AK37" s="7" t="n">
        <v>46055</v>
      </c>
      <c r="AL37" s="3" t="inlineStr">
        <is>
          <t>ESEVERINO</t>
        </is>
      </c>
      <c r="AM37" s="3" t="inlineStr">
        <is>
          <t>Pendiente de NR</t>
        </is>
      </c>
    </row>
    <row r="38">
      <c r="A38" s="3" t="n">
        <v>33</v>
      </c>
      <c r="B38" s="3" t="inlineStr">
        <is>
          <t>OPS_032</t>
        </is>
      </c>
      <c r="C38" s="3" t="inlineStr">
        <is>
          <t>OPS</t>
        </is>
      </c>
      <c r="D38" s="3" t="inlineStr">
        <is>
          <t>Eloy / Raul</t>
        </is>
      </c>
      <c r="H38" s="3" t="inlineStr">
        <is>
          <t xml:space="preserve">Implementación de tomacorrientes para mesas de salas de estudio  en biblioteca </t>
        </is>
      </c>
      <c r="I38" s="3" t="inlineStr">
        <is>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is>
      </c>
      <c r="J38" s="3" t="inlineStr">
        <is>
          <t>INSTALACIÓN DE PUNTOS DE ENERGIA EN BIBLIOTECA</t>
        </is>
      </c>
      <c r="K38" s="3" t="inlineStr">
        <is>
          <t>OK</t>
        </is>
      </c>
      <c r="L38" s="3">
        <f>SUM(M38:O38)</f>
        <v/>
      </c>
      <c r="M38" s="3" t="n">
        <v>4</v>
      </c>
      <c r="N38" s="3" t="n">
        <v>3</v>
      </c>
      <c r="O38" s="3" t="n">
        <v>4</v>
      </c>
      <c r="Q38" s="3" t="inlineStr">
        <is>
          <t>SI</t>
        </is>
      </c>
      <c r="R38" s="3" t="inlineStr">
        <is>
          <t>UTP Huancayo</t>
        </is>
      </c>
      <c r="S38" s="3" t="n">
        <v>70190101</v>
      </c>
      <c r="T38" s="3" t="inlineStr">
        <is>
          <t>UTP AV,CIRCUNVALACIÓN 449 - HUANCAYO</t>
        </is>
      </c>
      <c r="U38" s="3" t="n">
        <v>18000</v>
      </c>
      <c r="V38" s="3" t="n">
        <v>16475.75</v>
      </c>
      <c r="W38" s="3" t="inlineStr">
        <is>
          <t>A</t>
        </is>
      </c>
      <c r="X38" s="4" t="n">
        <v>46082</v>
      </c>
      <c r="Y38" s="4" t="n">
        <v>46111</v>
      </c>
      <c r="Z38" s="4" t="n">
        <v>46082</v>
      </c>
      <c r="AA38" s="4" t="n">
        <v>46111</v>
      </c>
      <c r="AB38" s="3" t="inlineStr">
        <is>
          <t>EJECUTADO</t>
        </is>
      </c>
      <c r="AC38" s="3" t="inlineStr">
        <is>
          <t>EJECUTADO</t>
        </is>
      </c>
      <c r="AD38" s="3" t="inlineStr">
        <is>
          <t>Proyectos Ops / Mantenimiento</t>
        </is>
      </c>
      <c r="AE38" s="3" t="inlineStr">
        <is>
          <t>SC-0000117917-2026</t>
        </is>
      </c>
      <c r="AF38" s="7" t="n">
        <v>46073</v>
      </c>
      <c r="AG38" s="3" t="inlineStr">
        <is>
          <t>OC-0000124862-2026</t>
        </is>
      </c>
      <c r="AH38" s="7" t="n">
        <v>46105</v>
      </c>
      <c r="AI38" s="3" t="inlineStr">
        <is>
          <t>MEJ00198</t>
        </is>
      </c>
      <c r="AJ38" s="3" t="inlineStr">
        <is>
          <t xml:space="preserve">UTP_Hcyo_Implementacion_tomacorrientes_mesas_biblioteca </t>
        </is>
      </c>
      <c r="AK38" s="7" t="n">
        <v>46055</v>
      </c>
      <c r="AL38" s="3" t="inlineStr">
        <is>
          <t>ESEVERINO</t>
        </is>
      </c>
    </row>
    <row r="39">
      <c r="A39" s="3" t="n">
        <v>34</v>
      </c>
      <c r="B39" s="3" t="inlineStr">
        <is>
          <t>OPS_033</t>
        </is>
      </c>
      <c r="C39" s="3" t="inlineStr">
        <is>
          <t>OPS</t>
        </is>
      </c>
      <c r="D39" s="3" t="inlineStr">
        <is>
          <t>Eloy / Raul</t>
        </is>
      </c>
      <c r="H39" s="3" t="inlineStr">
        <is>
          <t xml:space="preserve">Implementación de tomacorrientes para mesas de salas de estudio  en biblioteca </t>
        </is>
      </c>
      <c r="I39" s="3" t="inlineStr">
        <is>
          <t>Se requiere instalar 42 puntos electricos para biblioteca,</t>
        </is>
      </c>
      <c r="J39" s="3" t="inlineStr">
        <is>
          <t>https://utpedupe-my,sharepoint,com/personal/hleon_utp_edu_pe/_layouts/15/onedrive,aspx?id=%2Fpersonal%2Fhleon%5Futp%5Fedu%5Fpe%2FDocuments%2FUTP%2FAREA%20OPERACIONES%20%2D%20COMPARTIDO%2FCAPEX%20ADICIONALES%202026%2FEnergizar%20mesas%20de%20Biblioteca&amp;viewid=dc302f51%2D364c%2D45d8%2Db630%2D7c45cef7440a&amp;ga=1</t>
        </is>
      </c>
      <c r="K39" s="3" t="inlineStr">
        <is>
          <t>OK</t>
        </is>
      </c>
      <c r="L39" s="3">
        <f>SUM(M39:O39)</f>
        <v/>
      </c>
      <c r="M39" s="3" t="n">
        <v>4</v>
      </c>
      <c r="N39" s="3" t="n">
        <v>3</v>
      </c>
      <c r="O39" s="3" t="n">
        <v>4</v>
      </c>
      <c r="Q39" s="3" t="inlineStr">
        <is>
          <t>SI</t>
        </is>
      </c>
      <c r="R39" s="3" t="inlineStr">
        <is>
          <t>UTP Ica</t>
        </is>
      </c>
      <c r="S39" s="3" t="n">
        <v>70160101</v>
      </c>
      <c r="T39" s="3" t="inlineStr">
        <is>
          <t>UTP SUB EUB-5 SAN JOSE - ICA</t>
        </is>
      </c>
      <c r="U39" s="3" t="n">
        <v>24260</v>
      </c>
      <c r="V39" s="3" t="n">
        <v>14030.27</v>
      </c>
      <c r="W39" s="3" t="inlineStr">
        <is>
          <t>A</t>
        </is>
      </c>
      <c r="X39" s="4" t="n">
        <v>46082</v>
      </c>
      <c r="Y39" s="4" t="n">
        <v>46172</v>
      </c>
      <c r="Z39" s="4" t="n">
        <v>46082</v>
      </c>
      <c r="AA39" s="4" t="n">
        <v>46142</v>
      </c>
      <c r="AB39" s="3" t="inlineStr">
        <is>
          <t>EJECUTADO</t>
        </is>
      </c>
      <c r="AC39" s="3" t="inlineStr">
        <is>
          <t>EJECUTADO</t>
        </is>
      </c>
      <c r="AD39" s="3" t="inlineStr">
        <is>
          <t>Proyectos Ops / Mantenimiento</t>
        </is>
      </c>
      <c r="AE39" s="3" t="inlineStr">
        <is>
          <t>SC-0000117916-2026</t>
        </is>
      </c>
      <c r="AF39" s="7" t="n">
        <v>46073</v>
      </c>
      <c r="AG39" s="3" t="inlineStr">
        <is>
          <t>OC-0000124429-2026</t>
        </is>
      </c>
      <c r="AH39" s="7" t="n">
        <v>46100</v>
      </c>
      <c r="AI39" s="3" t="inlineStr">
        <is>
          <t>MEJ00199</t>
        </is>
      </c>
      <c r="AJ39" s="3" t="inlineStr">
        <is>
          <t xml:space="preserve">UTP_Ica_Implementacion_tomacorrientes_mesas_biblioteca </t>
        </is>
      </c>
      <c r="AK39" s="7" t="n">
        <v>46055</v>
      </c>
      <c r="AL39" s="3" t="inlineStr">
        <is>
          <t>ESEVERINO</t>
        </is>
      </c>
      <c r="AM39" s="3" t="inlineStr">
        <is>
          <t>Logistica cambió codigo de proyecto a Generico, a solicitud de contabilidad</t>
        </is>
      </c>
    </row>
    <row r="40">
      <c r="A40" s="3" t="n">
        <v>35</v>
      </c>
      <c r="B40" s="3" t="inlineStr">
        <is>
          <t>OPS_034</t>
        </is>
      </c>
      <c r="C40" s="3" t="inlineStr">
        <is>
          <t>OPS</t>
        </is>
      </c>
      <c r="D40" s="3" t="inlineStr">
        <is>
          <t>Eloy / Raul</t>
        </is>
      </c>
      <c r="H40" s="3" t="inlineStr">
        <is>
          <t xml:space="preserve">Implementación de tomacorrientes para mesas de salas de estudio  en biblioteca </t>
        </is>
      </c>
      <c r="I40" s="3" t="inlineStr">
        <is>
          <t>Se requiere habilitación de puntos eléctricos para 9 mesas, Se puede manejar internamente con área de mantenimiento,</t>
        </is>
      </c>
      <c r="J40" s="3" t="inlineStr">
        <is>
          <t>https://utpedupe-my,sharepoint,com/:f:/g/personal/grubio_utp_edu_pe/Emjzi9UGTElEiur-35Qm26UBtzTIdw9dPmfcLFeHzKzheg?e=MUMhXJ</t>
        </is>
      </c>
      <c r="K40" s="3" t="inlineStr">
        <is>
          <t>OK</t>
        </is>
      </c>
      <c r="L40" s="3">
        <f>SUM(M40:O40)</f>
        <v/>
      </c>
      <c r="M40" s="3" t="n">
        <v>4</v>
      </c>
      <c r="N40" s="3" t="n">
        <v>3</v>
      </c>
      <c r="O40" s="3" t="n">
        <v>4</v>
      </c>
      <c r="Q40" s="3" t="inlineStr">
        <is>
          <t>SI</t>
        </is>
      </c>
      <c r="R40" s="3" t="inlineStr">
        <is>
          <t>UTP Piura</t>
        </is>
      </c>
      <c r="S40" s="3" t="n">
        <v>70170101</v>
      </c>
      <c r="T40" s="3" t="inlineStr">
        <is>
          <t>UTP AV,PANAMERICANA 234 -PIURA</t>
        </is>
      </c>
      <c r="U40" s="3" t="n">
        <v>2500</v>
      </c>
      <c r="V40" s="3" t="n">
        <v>2183</v>
      </c>
      <c r="W40" s="3" t="inlineStr">
        <is>
          <t>A</t>
        </is>
      </c>
      <c r="X40" s="4" t="n">
        <v>46082</v>
      </c>
      <c r="Y40" s="4" t="n">
        <v>46172</v>
      </c>
      <c r="Z40" s="4" t="n">
        <v>46082</v>
      </c>
      <c r="AA40" s="4" t="n">
        <v>46127</v>
      </c>
      <c r="AB40" s="3" t="inlineStr">
        <is>
          <t>EJECUTADO</t>
        </is>
      </c>
      <c r="AC40" s="3" t="inlineStr">
        <is>
          <t>EJECUTADO</t>
        </is>
      </c>
      <c r="AD40" s="3" t="inlineStr">
        <is>
          <t>Proyectos Ops / Mantenimiento</t>
        </is>
      </c>
      <c r="AE40" s="3" t="inlineStr">
        <is>
          <t>SC-0000118063-2026</t>
        </is>
      </c>
      <c r="AF40" s="7" t="n">
        <v>46073</v>
      </c>
      <c r="AG40" s="3" t="inlineStr">
        <is>
          <t xml:space="preserve"> OC-0000123121-2026</t>
        </is>
      </c>
      <c r="AH40" s="7" t="n">
        <v>46090</v>
      </c>
      <c r="AI40" s="3" t="inlineStr">
        <is>
          <t>MEJ00200</t>
        </is>
      </c>
      <c r="AJ40" s="3" t="inlineStr">
        <is>
          <t xml:space="preserve">UTP_Piura_Implementacion_tomacorrientes_mesas_biblioteca </t>
        </is>
      </c>
      <c r="AK40" s="7" t="n">
        <v>46055</v>
      </c>
      <c r="AL40" s="3" t="inlineStr">
        <is>
          <t>ESEVERINO</t>
        </is>
      </c>
    </row>
    <row r="41">
      <c r="A41" s="3" t="n">
        <v>36</v>
      </c>
      <c r="B41" s="3" t="inlineStr">
        <is>
          <t>OPS_035</t>
        </is>
      </c>
      <c r="C41" s="3" t="inlineStr">
        <is>
          <t>OPS</t>
        </is>
      </c>
      <c r="D41" s="3" t="inlineStr">
        <is>
          <t>Eloy / Raul</t>
        </is>
      </c>
      <c r="H41" s="3" t="inlineStr">
        <is>
          <t xml:space="preserve">Implementación de tomacorrientes para mesas de salas de estudio  en biblioteca </t>
        </is>
      </c>
      <c r="I41" s="3" t="inlineStr">
        <is>
          <t>Habilitación de puntos eléctricos para mesas de biblioteca 33 puntos</t>
        </is>
      </c>
      <c r="J41" s="3" t="inlineStr">
        <is>
          <t>Mesa de Estudios electrificada</t>
        </is>
      </c>
      <c r="K41" s="3" t="inlineStr">
        <is>
          <t>OK</t>
        </is>
      </c>
      <c r="L41" s="3">
        <f>SUM(M41:O41)</f>
        <v/>
      </c>
      <c r="M41" s="3" t="n">
        <v>4</v>
      </c>
      <c r="N41" s="3" t="n">
        <v>3</v>
      </c>
      <c r="O41" s="3" t="n">
        <v>4</v>
      </c>
      <c r="Q41" s="3" t="inlineStr">
        <is>
          <t>SI</t>
        </is>
      </c>
      <c r="R41" s="3" t="inlineStr">
        <is>
          <t>UTP Trujillo</t>
        </is>
      </c>
      <c r="S41" s="3" t="n">
        <v>70180103</v>
      </c>
      <c r="T41" s="3" t="inlineStr">
        <is>
          <t>UTP NICOLAS PIEROLA - TRUJILLO</t>
        </is>
      </c>
      <c r="U41" s="3" t="n">
        <v>17109</v>
      </c>
      <c r="V41" s="3" t="n">
        <v>17930.18</v>
      </c>
      <c r="W41" s="3" t="inlineStr">
        <is>
          <t>A</t>
        </is>
      </c>
      <c r="X41" s="4" t="n">
        <v>46143</v>
      </c>
      <c r="Y41" s="4" t="n">
        <v>46203</v>
      </c>
      <c r="Z41" s="4" t="n">
        <v>46143</v>
      </c>
      <c r="AA41" s="4" t="n">
        <v>46143</v>
      </c>
      <c r="AB41" s="3" t="inlineStr">
        <is>
          <t>EJECUTADO</t>
        </is>
      </c>
      <c r="AC41" s="3" t="inlineStr">
        <is>
          <t>EJECUTADO</t>
        </is>
      </c>
      <c r="AD41" s="3" t="inlineStr">
        <is>
          <t>Proyectos Ops / Mantenimiento</t>
        </is>
      </c>
      <c r="AE41" s="3" t="inlineStr">
        <is>
          <t>SC-0000117919-2026</t>
        </is>
      </c>
      <c r="AF41" s="7" t="n">
        <v>46073</v>
      </c>
      <c r="AG41" s="3" t="inlineStr">
        <is>
          <t>OC-0000127316-2026</t>
        </is>
      </c>
      <c r="AH41" s="7" t="n">
        <v>46134</v>
      </c>
      <c r="AI41" s="3" t="inlineStr">
        <is>
          <t>MEJ00201</t>
        </is>
      </c>
      <c r="AJ41" s="3" t="inlineStr">
        <is>
          <t xml:space="preserve">UTP_Trujillo_Implementacion_tomacorrientes_mesas_biblioteca </t>
        </is>
      </c>
      <c r="AK41" s="7" t="n">
        <v>46055</v>
      </c>
      <c r="AL41" s="3" t="inlineStr">
        <is>
          <t>ESEVERINO</t>
        </is>
      </c>
    </row>
    <row r="42">
      <c r="A42" s="3" t="n">
        <v>37</v>
      </c>
      <c r="B42" s="3" t="inlineStr">
        <is>
          <t>OPS_036</t>
        </is>
      </c>
      <c r="C42" s="3" t="inlineStr">
        <is>
          <t>OPS</t>
        </is>
      </c>
      <c r="D42" s="3" t="inlineStr">
        <is>
          <t>Eloy / Raul</t>
        </is>
      </c>
      <c r="H42" s="3" t="inlineStr">
        <is>
          <t>Implementación de tomacorrientes para mesas de salas de estudio  en biblioteca (ATE LS LN TTAPACIFICO)</t>
        </is>
      </c>
      <c r="J42" s="3" t="inlineStr">
        <is>
          <t>Tomacorrientes Salas Estudio</t>
        </is>
      </c>
      <c r="Q42" s="3" t="inlineStr">
        <is>
          <t>SI</t>
        </is>
      </c>
      <c r="R42" s="3" t="inlineStr">
        <is>
          <t>UTP Lima Este</t>
        </is>
      </c>
      <c r="S42" s="3" t="n">
        <v>10220108</v>
      </c>
      <c r="T42" s="3" t="inlineStr">
        <is>
          <t>UTP N,AYLLON KM11,60 LOTE 96ATE -LIMA</t>
        </is>
      </c>
      <c r="U42" s="3" t="n">
        <v>0</v>
      </c>
      <c r="V42" s="3" t="n">
        <v>0</v>
      </c>
      <c r="W42" s="3" t="inlineStr">
        <is>
          <t>A</t>
        </is>
      </c>
      <c r="X42" s="4" t="n">
        <v>46082</v>
      </c>
      <c r="Y42" s="4" t="n">
        <v>46082</v>
      </c>
      <c r="Z42" s="4" t="n">
        <v>46082</v>
      </c>
      <c r="AA42" s="4" t="n">
        <v>46111</v>
      </c>
      <c r="AB42" s="3" t="inlineStr">
        <is>
          <t>EJECUTADO</t>
        </is>
      </c>
      <c r="AC42" s="3" t="inlineStr">
        <is>
          <t>EJECUTADO</t>
        </is>
      </c>
      <c r="AD42" s="3" t="inlineStr">
        <is>
          <t>Proyectos Ops / Mantenimiento</t>
        </is>
      </c>
      <c r="AE42" s="3" t="inlineStr">
        <is>
          <t>SC-0000116464-2026</t>
        </is>
      </c>
      <c r="AF42" s="7" t="n">
        <v>46060</v>
      </c>
      <c r="AG42" s="3" t="inlineStr">
        <is>
          <t>OC-0000121837-2026</t>
        </is>
      </c>
      <c r="AH42" s="7" t="n">
        <v>46077</v>
      </c>
      <c r="AI42" s="3" t="inlineStr">
        <is>
          <t>MEJ00202</t>
        </is>
      </c>
      <c r="AJ42" s="3" t="inlineStr">
        <is>
          <t xml:space="preserve">UTP_Ate KM 11,60_Implementacion_tomacorrientes_mesas_biblioteca </t>
        </is>
      </c>
      <c r="AK42" s="7" t="n">
        <v>46055</v>
      </c>
      <c r="AL42" s="3" t="inlineStr">
        <is>
          <t>ESEVERINO</t>
        </is>
      </c>
      <c r="AM42" s="3" t="inlineStr">
        <is>
          <t>Encargado solicita anulacion de SC-0000117924-2026 (SE ATENDIÓ CON LA OC-0000121837-2026)</t>
        </is>
      </c>
      <c r="AO42" s="3" t="inlineStr">
        <is>
          <t>Revisar con Finanzas</t>
        </is>
      </c>
    </row>
    <row r="43">
      <c r="A43" s="3" t="n">
        <v>38</v>
      </c>
      <c r="B43" s="3" t="inlineStr">
        <is>
          <t>OPS_037</t>
        </is>
      </c>
      <c r="C43" s="3" t="inlineStr">
        <is>
          <t>OPS</t>
        </is>
      </c>
      <c r="D43" s="3" t="inlineStr">
        <is>
          <t>Eloy / Raul</t>
        </is>
      </c>
      <c r="H43" s="3" t="inlineStr">
        <is>
          <t>Implementación de tomacorrientes para mesas de salas de estudio  en biblioteca (ATE LS LN TTAPACIFICO)</t>
        </is>
      </c>
      <c r="J43" s="3" t="inlineStr">
        <is>
          <t>Tomacorrientes Salas Estudio</t>
        </is>
      </c>
      <c r="Q43" s="3" t="inlineStr">
        <is>
          <t>SI</t>
        </is>
      </c>
      <c r="R43" s="3" t="inlineStr">
        <is>
          <t>UTP Lima Sur</t>
        </is>
      </c>
      <c r="S43" s="3" t="n">
        <v>10220106</v>
      </c>
      <c r="T43" s="3" t="inlineStr">
        <is>
          <t>UTP EL TRIUNFO S/N-VILLA SALVA - LIMA</t>
        </is>
      </c>
      <c r="U43" s="3" t="n">
        <v>17200</v>
      </c>
      <c r="V43" s="3" t="n">
        <v>17154.91</v>
      </c>
      <c r="W43" s="3" t="inlineStr">
        <is>
          <t>A</t>
        </is>
      </c>
      <c r="X43" s="4" t="n">
        <v>46082</v>
      </c>
      <c r="Y43" s="4" t="n">
        <v>46125</v>
      </c>
      <c r="Z43" s="4" t="n">
        <v>46082</v>
      </c>
      <c r="AA43" s="4" t="n">
        <v>46125</v>
      </c>
      <c r="AB43" s="3" t="inlineStr">
        <is>
          <t>EJECUTADO</t>
        </is>
      </c>
      <c r="AC43" s="3" t="inlineStr">
        <is>
          <t>EJECUTADO</t>
        </is>
      </c>
      <c r="AD43" s="3" t="inlineStr">
        <is>
          <t>Proyectos Ops / Mantenimiento</t>
        </is>
      </c>
      <c r="AE43" s="3" t="inlineStr">
        <is>
          <t>SC-0000117929-2026</t>
        </is>
      </c>
      <c r="AF43" s="7" t="n">
        <v>46073</v>
      </c>
      <c r="AG43" s="3" t="inlineStr">
        <is>
          <t>OC-0000124180-2026</t>
        </is>
      </c>
      <c r="AH43" s="7" t="n">
        <v>46099</v>
      </c>
      <c r="AI43" s="3" t="inlineStr">
        <is>
          <t>MEJ00203</t>
        </is>
      </c>
      <c r="AJ43" s="3" t="inlineStr">
        <is>
          <t xml:space="preserve">UTP_VES_Implementacion_tomacorrientes_mesas_biblioteca </t>
        </is>
      </c>
      <c r="AK43" s="7" t="n">
        <v>46055</v>
      </c>
      <c r="AL43" s="3" t="inlineStr">
        <is>
          <t>ESEVERINO</t>
        </is>
      </c>
    </row>
    <row r="44">
      <c r="A44" s="3" t="n">
        <v>39</v>
      </c>
      <c r="B44" s="3" t="inlineStr">
        <is>
          <t>OPS_038</t>
        </is>
      </c>
      <c r="C44" s="3" t="inlineStr">
        <is>
          <t>OPS</t>
        </is>
      </c>
      <c r="D44" s="3" t="inlineStr">
        <is>
          <t>Eloy / Raul</t>
        </is>
      </c>
      <c r="H44" s="3" t="inlineStr">
        <is>
          <t>Implementación de tomacorrientes para mesas de salas de estudio  en biblioteca (ATE LS LN TTAPACIFICO)</t>
        </is>
      </c>
      <c r="J44" s="3" t="inlineStr">
        <is>
          <t>Tomacorrientes Salas Estudio</t>
        </is>
      </c>
      <c r="Q44" s="3" t="inlineStr">
        <is>
          <t>SI</t>
        </is>
      </c>
      <c r="R44" s="3" t="inlineStr">
        <is>
          <t>UTP Lima Norte</t>
        </is>
      </c>
      <c r="S44" s="3" t="n">
        <v>10220111</v>
      </c>
      <c r="T44" s="3" t="inlineStr">
        <is>
          <t>UTP AV,INFANTAS MZ 2E LOTE 28, URB, STA LUISA - LOS OLIVOS</t>
        </is>
      </c>
      <c r="U44" s="3" t="n">
        <v>17200</v>
      </c>
      <c r="W44" s="3" t="inlineStr">
        <is>
          <t>A</t>
        </is>
      </c>
      <c r="X44" s="4" t="n">
        <v>46174</v>
      </c>
      <c r="Y44" s="4" t="n">
        <v>46356</v>
      </c>
      <c r="Z44" s="6" t="n"/>
      <c r="AA44" s="6" t="n"/>
      <c r="AB44" s="3" t="inlineStr">
        <is>
          <t>PENDIENTE</t>
        </is>
      </c>
      <c r="AD44" s="3" t="inlineStr">
        <is>
          <t>Proyectos Ops / Mantenimiento</t>
        </is>
      </c>
      <c r="AI44" s="3" t="inlineStr">
        <is>
          <t>MEJ00204</t>
        </is>
      </c>
      <c r="AJ44" s="3" t="inlineStr">
        <is>
          <t xml:space="preserve">UTP_LN MZ 2E Lote 28_Implementacion_tomacorrientes_mesas_biblioteca </t>
        </is>
      </c>
      <c r="AK44" s="7" t="n">
        <v>46055</v>
      </c>
      <c r="AL44" s="3" t="inlineStr">
        <is>
          <t>ESEVERINO</t>
        </is>
      </c>
      <c r="AM44" s="3" t="inlineStr">
        <is>
          <t>Reunir con los involucrados</t>
        </is>
      </c>
    </row>
    <row r="45">
      <c r="A45" s="3" t="n">
        <v>40</v>
      </c>
      <c r="B45" s="3" t="inlineStr">
        <is>
          <t>OPS_039</t>
        </is>
      </c>
      <c r="C45" s="3" t="inlineStr">
        <is>
          <t>OPS</t>
        </is>
      </c>
      <c r="D45" s="3" t="inlineStr">
        <is>
          <t>Eloy / Raul</t>
        </is>
      </c>
      <c r="H45" s="3" t="inlineStr">
        <is>
          <t>Implementación de tomacorrientes para mesas de salas de estudio  en biblioteca (ATE LS LN TTAPACIFICO)</t>
        </is>
      </c>
      <c r="J45" s="3" t="inlineStr">
        <is>
          <t>Tomacorrientes Salas Estudio</t>
        </is>
      </c>
      <c r="Q45" s="3" t="inlineStr">
        <is>
          <t>SI</t>
        </is>
      </c>
      <c r="R45" s="3" t="inlineStr">
        <is>
          <t>UTP Lima Centro</t>
        </is>
      </c>
      <c r="S45" s="3" t="n">
        <v>10110205</v>
      </c>
      <c r="T45" s="3" t="inlineStr">
        <is>
          <t>UTP AV, AREQUIPA 265-279 - LIMA</t>
        </is>
      </c>
      <c r="U45" s="3" t="n">
        <v>17200</v>
      </c>
      <c r="V45" s="3" t="n">
        <v>22192.19</v>
      </c>
      <c r="W45" s="3" t="inlineStr">
        <is>
          <t>A</t>
        </is>
      </c>
      <c r="X45" s="4" t="n">
        <v>46143</v>
      </c>
      <c r="Y45" s="4" t="n">
        <v>46203</v>
      </c>
      <c r="Z45" s="4" t="n">
        <v>46143</v>
      </c>
      <c r="AA45" s="4" t="n">
        <v>46143</v>
      </c>
      <c r="AB45" s="3" t="inlineStr">
        <is>
          <t>EJECUTADO</t>
        </is>
      </c>
      <c r="AC45" s="3" t="inlineStr">
        <is>
          <t>EJECUTADO</t>
        </is>
      </c>
      <c r="AD45" s="3" t="inlineStr">
        <is>
          <t>Proyectos Ops / Mantenimiento</t>
        </is>
      </c>
      <c r="AE45" s="3" t="inlineStr">
        <is>
          <t>SC-0000120469-2026</t>
        </is>
      </c>
      <c r="AF45" s="7" t="n">
        <v>46094</v>
      </c>
      <c r="AG45" s="3" t="inlineStr">
        <is>
          <t>OC-0000126973-2026</t>
        </is>
      </c>
      <c r="AH45" s="7" t="n">
        <v>46131</v>
      </c>
      <c r="AI45" s="3" t="inlineStr">
        <is>
          <t>MEJ00205</t>
        </is>
      </c>
      <c r="AJ45" s="3" t="inlineStr">
        <is>
          <t xml:space="preserve">UTP_Arq265-279_Implementacion_tomacorrientes_mesas_biblioteca </t>
        </is>
      </c>
      <c r="AK45" s="7" t="n">
        <v>46055</v>
      </c>
      <c r="AL45" s="3" t="inlineStr">
        <is>
          <t>ESEVERINO</t>
        </is>
      </c>
    </row>
    <row r="46">
      <c r="A46" s="3" t="n">
        <v>41</v>
      </c>
      <c r="B46" s="3" t="inlineStr">
        <is>
          <t>OPS_040</t>
        </is>
      </c>
      <c r="C46" s="3" t="inlineStr">
        <is>
          <t>OPS</t>
        </is>
      </c>
      <c r="D46" s="3" t="inlineStr">
        <is>
          <t>Eloy / Raul</t>
        </is>
      </c>
      <c r="H46" s="3" t="inlineStr">
        <is>
          <t>Implementación de tomacorrientes para mesas de salas de estudio  en biblioteca (ATE LS LN TTAPACIFICO)</t>
        </is>
      </c>
      <c r="I46" s="3" t="inlineStr">
        <is>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is>
      </c>
      <c r="J46" s="3" t="inlineStr">
        <is>
          <t>Tomacorrientes Salas Estudio</t>
        </is>
      </c>
      <c r="K46" s="3" t="inlineStr">
        <is>
          <t>OK</t>
        </is>
      </c>
      <c r="L46" s="3">
        <f>SUM(M46:O46)</f>
        <v/>
      </c>
      <c r="M46" s="3" t="n">
        <v>5</v>
      </c>
      <c r="N46" s="3" t="n">
        <v>5</v>
      </c>
      <c r="O46" s="3" t="n">
        <v>2</v>
      </c>
      <c r="Q46" s="3" t="inlineStr">
        <is>
          <t>SI</t>
        </is>
      </c>
      <c r="R46" s="3" t="inlineStr">
        <is>
          <t>UTP Lima Centro</t>
        </is>
      </c>
      <c r="S46" s="3" t="n">
        <v>10110102</v>
      </c>
      <c r="T46" s="3" t="inlineStr">
        <is>
          <t>UTP AREQUIPA 660- 670 - LIMA</t>
        </is>
      </c>
      <c r="U46" s="3" t="n">
        <v>17200</v>
      </c>
      <c r="V46" s="3" t="n">
        <v>12434.95</v>
      </c>
      <c r="W46" s="3" t="inlineStr">
        <is>
          <t>A</t>
        </is>
      </c>
      <c r="X46" s="4" t="n">
        <v>46082</v>
      </c>
      <c r="Y46" s="4" t="n">
        <v>46111</v>
      </c>
      <c r="Z46" s="4" t="n">
        <v>46082</v>
      </c>
      <c r="AA46" s="4" t="n">
        <v>46111</v>
      </c>
      <c r="AB46" s="3" t="inlineStr">
        <is>
          <t>EJECUTADO</t>
        </is>
      </c>
      <c r="AC46" s="3" t="inlineStr">
        <is>
          <t>EJECUTADO</t>
        </is>
      </c>
      <c r="AD46" s="3" t="inlineStr">
        <is>
          <t>Proyectos Ops / Mantenimiento</t>
        </is>
      </c>
      <c r="AE46" s="3" t="inlineStr">
        <is>
          <t>SC-0000119824-2026</t>
        </is>
      </c>
      <c r="AF46" s="7" t="n">
        <v>46091</v>
      </c>
      <c r="AG46" s="3" t="inlineStr">
        <is>
          <t xml:space="preserve">OC-0000124005-2026 </t>
        </is>
      </c>
      <c r="AH46" s="7" t="n">
        <v>46098</v>
      </c>
      <c r="AI46" s="3" t="inlineStr">
        <is>
          <t>MEJ00206</t>
        </is>
      </c>
      <c r="AJ46" s="3" t="inlineStr">
        <is>
          <t xml:space="preserve">UTP_Arq660-670_Implementacion_tomacorrientes_mesas_biblioteca </t>
        </is>
      </c>
      <c r="AK46" s="7" t="n">
        <v>46055</v>
      </c>
      <c r="AL46" s="3" t="inlineStr">
        <is>
          <t>ESEVERINO</t>
        </is>
      </c>
    </row>
    <row r="47">
      <c r="A47" s="3" t="n">
        <v>42</v>
      </c>
      <c r="B47" s="3" t="inlineStr">
        <is>
          <t>OPS_041</t>
        </is>
      </c>
      <c r="C47" s="3" t="inlineStr">
        <is>
          <t>OPS</t>
        </is>
      </c>
      <c r="D47" s="3" t="inlineStr">
        <is>
          <t>Marcia Lizárraga</t>
        </is>
      </c>
      <c r="H47" s="3" t="inlineStr">
        <is>
          <t>Implementación de tres muebles para guardar mochilas</t>
        </is>
      </c>
      <c r="I47" s="3" t="inlineStr">
        <is>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is>
      </c>
      <c r="J47" s="3" t="inlineStr">
        <is>
          <t>Fotos para mejoras 1,pptx</t>
        </is>
      </c>
      <c r="K47" s="3" t="inlineStr">
        <is>
          <t>OK</t>
        </is>
      </c>
      <c r="L47" s="3">
        <f>SUM(M47:O47)</f>
        <v/>
      </c>
      <c r="M47" s="3" t="n">
        <v>4</v>
      </c>
      <c r="N47" s="3" t="n">
        <v>2</v>
      </c>
      <c r="O47" s="3" t="n">
        <v>4</v>
      </c>
      <c r="Q47" s="3" t="inlineStr">
        <is>
          <t>SI</t>
        </is>
      </c>
      <c r="R47" s="3" t="inlineStr">
        <is>
          <t>UTP Huancayo</t>
        </is>
      </c>
      <c r="S47" s="3" t="n">
        <v>70190101</v>
      </c>
      <c r="T47" s="3" t="inlineStr">
        <is>
          <t>UTP AV,CIRCUNVALACIÓN 449 - HUANCAYO</t>
        </is>
      </c>
      <c r="U47" s="3" t="n">
        <v>4000</v>
      </c>
      <c r="V47" s="3" t="n">
        <v>2880</v>
      </c>
      <c r="W47" s="3" t="inlineStr">
        <is>
          <t>A</t>
        </is>
      </c>
      <c r="X47" s="4" t="n">
        <v>46113</v>
      </c>
      <c r="Y47" s="4" t="n">
        <v>46203</v>
      </c>
      <c r="Z47" s="4" t="n">
        <v>46113</v>
      </c>
      <c r="AA47" s="4" t="n">
        <v>46157</v>
      </c>
      <c r="AB47" s="3" t="inlineStr">
        <is>
          <t>EJECUTADO</t>
        </is>
      </c>
      <c r="AC47" s="3" t="inlineStr">
        <is>
          <t>EJECUTADO</t>
        </is>
      </c>
      <c r="AD47" s="3" t="inlineStr">
        <is>
          <t>Campus</t>
        </is>
      </c>
      <c r="AE47" s="3" t="inlineStr">
        <is>
          <t>SC-0000115857-2026</t>
        </is>
      </c>
      <c r="AF47" s="7" t="n">
        <v>46055</v>
      </c>
      <c r="AG47" s="3" t="inlineStr">
        <is>
          <t>OC-0000123917-2026</t>
        </is>
      </c>
      <c r="AH47" s="7" t="n">
        <v>46097</v>
      </c>
      <c r="AI47" s="3" t="inlineStr">
        <is>
          <t>AM001196</t>
        </is>
      </c>
      <c r="AJ47" s="3" t="inlineStr">
        <is>
          <t>UTP_Hcyo_Implementacion_muebles_guardar mochilas</t>
        </is>
      </c>
      <c r="AK47" s="7" t="n">
        <v>46055</v>
      </c>
      <c r="AL47" s="3" t="inlineStr">
        <is>
          <t>ESEVERINO</t>
        </is>
      </c>
    </row>
    <row r="48">
      <c r="A48" s="3" t="n">
        <v>43</v>
      </c>
      <c r="B48" s="3" t="inlineStr">
        <is>
          <t>OPS_042</t>
        </is>
      </c>
      <c r="C48" s="3" t="inlineStr">
        <is>
          <t>OPS</t>
        </is>
      </c>
      <c r="D48" s="3" t="inlineStr">
        <is>
          <t>Freddy Valderrama</t>
        </is>
      </c>
      <c r="H48" s="3" t="inlineStr">
        <is>
          <t xml:space="preserve">Implementar aire acondicionado SAE TyA </t>
        </is>
      </c>
      <c r="I48" s="3" t="inlineStr">
        <is>
          <t>Implementar sistema de aire acondicionado</t>
        </is>
      </c>
      <c r="J48" s="3" t="inlineStr">
        <is>
          <t>25,TyA - Aire acondicionado SAE,mp4</t>
        </is>
      </c>
      <c r="K48" s="3" t="inlineStr">
        <is>
          <t>OK</t>
        </is>
      </c>
      <c r="L48" s="3">
        <f>SUM(M48:O48)</f>
        <v/>
      </c>
      <c r="M48" s="3" t="n">
        <v>5</v>
      </c>
      <c r="N48" s="3" t="n">
        <v>4</v>
      </c>
      <c r="O48" s="3" t="n">
        <v>3</v>
      </c>
      <c r="P48" s="3" t="inlineStr">
        <is>
          <t>OK a evaluar contra carga eléctrica disponible</t>
        </is>
      </c>
      <c r="Q48" s="3" t="inlineStr">
        <is>
          <t>SI</t>
        </is>
      </c>
      <c r="R48" s="3" t="inlineStr">
        <is>
          <t>UTP Arequipa</t>
        </is>
      </c>
      <c r="S48" s="3" t="n">
        <v>70110101</v>
      </c>
      <c r="T48" s="3" t="inlineStr">
        <is>
          <t>UTP TACNA-ARICA 158-160-162 - AREQUIPA</t>
        </is>
      </c>
      <c r="U48" s="3" t="n">
        <v>250000</v>
      </c>
      <c r="W48" s="3" t="inlineStr">
        <is>
          <t>A</t>
        </is>
      </c>
      <c r="X48" s="4" t="n">
        <v>46235</v>
      </c>
      <c r="Y48" s="4" t="n">
        <v>46356</v>
      </c>
      <c r="Z48" s="6" t="n"/>
      <c r="AA48" s="6" t="n"/>
      <c r="AB48" s="3" t="inlineStr">
        <is>
          <t>EN PROCESO</t>
        </is>
      </c>
      <c r="AD48" s="3" t="inlineStr">
        <is>
          <t>Infraestructura</t>
        </is>
      </c>
    </row>
    <row r="49">
      <c r="A49" s="3" t="n">
        <v>44</v>
      </c>
      <c r="B49" s="3" t="inlineStr">
        <is>
          <t>OPS_043</t>
        </is>
      </c>
      <c r="C49" s="3" t="inlineStr">
        <is>
          <t>OPS</t>
        </is>
      </c>
      <c r="D49" s="3" t="inlineStr">
        <is>
          <t>Freddy Valderrama</t>
        </is>
      </c>
      <c r="H49" s="3" t="inlineStr">
        <is>
          <t>Implementar aire acondicionado, CAD - Parra 1</t>
        </is>
      </c>
      <c r="I49" s="3" t="inlineStr">
        <is>
          <t>OK a evaluar contra carga eléctrica disponible</t>
        </is>
      </c>
      <c r="P49" s="3" t="inlineStr">
        <is>
          <t>OK a evaluar contra carga eléctrica disponible</t>
        </is>
      </c>
      <c r="Q49" s="3" t="inlineStr">
        <is>
          <t>SI</t>
        </is>
      </c>
      <c r="R49" s="3" t="inlineStr">
        <is>
          <t>UTP Arequipa</t>
        </is>
      </c>
      <c r="S49" s="3" t="n">
        <v>70110103</v>
      </c>
      <c r="T49" s="3" t="inlineStr">
        <is>
          <t>UTP PARRA 201-203 -  AREQUIPA</t>
        </is>
      </c>
      <c r="U49" s="3" t="n">
        <v>200000</v>
      </c>
      <c r="W49" s="3" t="inlineStr">
        <is>
          <t>A</t>
        </is>
      </c>
      <c r="X49" s="4" t="n">
        <v>46235</v>
      </c>
      <c r="Y49" s="4" t="n">
        <v>46356</v>
      </c>
      <c r="Z49" s="6" t="n"/>
      <c r="AA49" s="6" t="n"/>
      <c r="AB49" s="3" t="inlineStr">
        <is>
          <t>EN PROCESO</t>
        </is>
      </c>
      <c r="AD49" s="3" t="inlineStr">
        <is>
          <t>Infraestructura</t>
        </is>
      </c>
    </row>
    <row r="50">
      <c r="A50" s="3" t="n">
        <v>45</v>
      </c>
      <c r="B50" s="3" t="inlineStr">
        <is>
          <t>OPS_044</t>
        </is>
      </c>
      <c r="C50" s="3" t="inlineStr">
        <is>
          <t>OPS</t>
        </is>
      </c>
      <c r="D50" s="3" t="inlineStr">
        <is>
          <t>Freddy Valderrama</t>
        </is>
      </c>
      <c r="H50" s="3" t="inlineStr">
        <is>
          <t>Implementar aire acondicionado, CAD - Taca y Arica</t>
        </is>
      </c>
      <c r="I50" s="3" t="inlineStr">
        <is>
          <t>OK a evaluar contra carga eléctrica disponible</t>
        </is>
      </c>
      <c r="P50" s="3" t="inlineStr">
        <is>
          <t>OK a evaluar contra carga eléctrica disponible</t>
        </is>
      </c>
      <c r="Q50" s="3" t="inlineStr">
        <is>
          <t>SI</t>
        </is>
      </c>
      <c r="R50" s="3" t="inlineStr">
        <is>
          <t>UTP Arequipa</t>
        </is>
      </c>
      <c r="S50" s="3" t="n">
        <v>70110101</v>
      </c>
      <c r="T50" s="3" t="inlineStr">
        <is>
          <t>UTP TACNA-ARICA 158-160-162 - AREQUIPA</t>
        </is>
      </c>
      <c r="U50" s="3" t="n">
        <v>250000</v>
      </c>
      <c r="W50" s="3" t="inlineStr">
        <is>
          <t>A</t>
        </is>
      </c>
      <c r="X50" s="4" t="n">
        <v>46235</v>
      </c>
      <c r="Y50" s="4" t="n">
        <v>46356</v>
      </c>
      <c r="Z50" s="6" t="n"/>
      <c r="AA50" s="6" t="n"/>
      <c r="AB50" s="3" t="inlineStr">
        <is>
          <t>EN PROCESO</t>
        </is>
      </c>
      <c r="AD50" s="3" t="inlineStr">
        <is>
          <t>Infraestructura</t>
        </is>
      </c>
    </row>
    <row r="51">
      <c r="A51" s="3" t="n">
        <v>46</v>
      </c>
      <c r="B51" s="3" t="inlineStr">
        <is>
          <t>OPS_045</t>
        </is>
      </c>
      <c r="C51" s="3" t="inlineStr">
        <is>
          <t>OPS</t>
        </is>
      </c>
      <c r="D51" s="3" t="inlineStr">
        <is>
          <t>Eloy Pocohuanca</t>
        </is>
      </c>
      <c r="F51" s="3" t="inlineStr">
        <is>
          <t>epocohuanc@utp,edu,pe</t>
        </is>
      </c>
      <c r="G51" s="3" t="inlineStr">
        <is>
          <t>937 029 622</t>
        </is>
      </c>
      <c r="H51" s="3" t="inlineStr">
        <is>
          <t xml:space="preserve">Implementar área libre para alumnos en el piso 3 de Torre Petit Thouars,Local no tiene áreas libres para alumnos </t>
        </is>
      </c>
      <c r="I51" s="3" t="inlineStr">
        <is>
          <t>Reemplazar el deposito (ex isla de post producción) del piso 3 por la implemnetación de area común,</t>
        </is>
      </c>
      <c r="J51" s="3" t="inlineStr">
        <is>
          <t>https://www,dropbox,com/scl/fo/iyqy9pj6dts10n3czpo2v/ANjKal-i5QRmzaXzwUAebb8?rlkey=9u7gfkw3ftyy7jiffcui4asfv&amp;st=s6mkblnw&amp;dl=0</t>
        </is>
      </c>
      <c r="K51" s="3" t="inlineStr">
        <is>
          <t>OK</t>
        </is>
      </c>
      <c r="L51" s="3">
        <f>SUM(M51:O51)</f>
        <v/>
      </c>
      <c r="M51" s="3" t="n">
        <v>5</v>
      </c>
      <c r="N51" s="3" t="n">
        <v>5</v>
      </c>
      <c r="O51" s="3" t="n">
        <v>1</v>
      </c>
      <c r="Q51" s="3" t="inlineStr">
        <is>
          <t>SI</t>
        </is>
      </c>
      <c r="R51" s="3" t="inlineStr">
        <is>
          <t>UTP Lima Centro</t>
        </is>
      </c>
      <c r="S51" s="3" t="n">
        <v>10110204</v>
      </c>
      <c r="T51" s="3" t="inlineStr">
        <is>
          <t>UTP PETIT THOU383-385-TORRE II - LIMA</t>
        </is>
      </c>
      <c r="U51" s="3" t="n">
        <v>20000</v>
      </c>
      <c r="V51" s="3" t="n">
        <v>1919.9072</v>
      </c>
      <c r="W51" s="3" t="inlineStr">
        <is>
          <t>A</t>
        </is>
      </c>
      <c r="X51" s="4" t="n">
        <v>46174</v>
      </c>
      <c r="Y51" s="4" t="n">
        <v>46366</v>
      </c>
      <c r="Z51" s="6" t="n"/>
      <c r="AA51" s="6" t="n"/>
      <c r="AB51" s="3" t="inlineStr">
        <is>
          <t>EN PROCESO</t>
        </is>
      </c>
      <c r="AD51" s="3" t="inlineStr">
        <is>
          <t>Proyectos Ops</t>
        </is>
      </c>
      <c r="AE51" s="3" t="inlineStr">
        <is>
          <t>SC-0000137449-2026</t>
        </is>
      </c>
      <c r="AG51" s="3" t="inlineStr">
        <is>
          <t>OC-0000142547-2026</t>
        </is>
      </c>
      <c r="AI51" s="3" t="inlineStr">
        <is>
          <t>PROY1382</t>
        </is>
      </c>
      <c r="AJ51" s="3" t="inlineStr">
        <is>
          <t>UTP_PTT383-385_Implementar_area libre_alumnos_piso 3 Torre II</t>
        </is>
      </c>
      <c r="AK51" s="7" t="n">
        <v>46055</v>
      </c>
      <c r="AL51" s="3" t="inlineStr">
        <is>
          <t>ESEVERINO</t>
        </is>
      </c>
      <c r="AM51" s="3" t="inlineStr">
        <is>
          <t>Conversar con Jossi/ OC-0000142547-2026 TIENE NR/</t>
        </is>
      </c>
    </row>
    <row r="52">
      <c r="A52" s="3" t="n">
        <v>47</v>
      </c>
      <c r="B52" s="3" t="inlineStr">
        <is>
          <t>OPS_046</t>
        </is>
      </c>
      <c r="C52" s="3" t="inlineStr">
        <is>
          <t>OPS</t>
        </is>
      </c>
      <c r="D52" s="3" t="inlineStr">
        <is>
          <t xml:space="preserve">CESAR JUNIOR LLERENA AMESQUITA / Elmer Raul ILLANES PAUCAR </t>
        </is>
      </c>
      <c r="F52" s="3" t="inlineStr">
        <is>
          <t>cllerena@utp,edu,pe / eillanes@utp,edu,pe</t>
        </is>
      </c>
      <c r="G52" s="3" t="inlineStr">
        <is>
          <t xml:space="preserve"> 979 717 991 / 994 690 404</t>
        </is>
      </c>
      <c r="H52" s="3" t="inlineStr">
        <is>
          <t>Implementar bebedero adicional (1) Parra 2</t>
        </is>
      </c>
      <c r="I52" s="3" t="inlineStr">
        <is>
          <t xml:space="preserve">Habilitar punto de agua para bebedero en Piso 1 </t>
        </is>
      </c>
      <c r="J52" s="3" t="inlineStr">
        <is>
          <t>07,Parra 2 - Bebedero,mp4</t>
        </is>
      </c>
      <c r="K52" s="3" t="inlineStr">
        <is>
          <t>OK</t>
        </is>
      </c>
      <c r="L52" s="3">
        <f>SUM(M52:O52)</f>
        <v/>
      </c>
      <c r="M52" s="3" t="n">
        <v>3</v>
      </c>
      <c r="N52" s="3" t="n">
        <v>3</v>
      </c>
      <c r="O52" s="3" t="n">
        <v>3</v>
      </c>
      <c r="Q52" s="3" t="inlineStr">
        <is>
          <t>SI</t>
        </is>
      </c>
      <c r="R52" s="3" t="inlineStr">
        <is>
          <t>UTP Arequipa</t>
        </is>
      </c>
      <c r="S52" s="3" t="n">
        <v>70110107</v>
      </c>
      <c r="T52" s="3" t="inlineStr">
        <is>
          <t>UTP PARRA WASHINGT 217-219 AREQUIPA</t>
        </is>
      </c>
      <c r="U52" s="3" t="n">
        <v>20000</v>
      </c>
      <c r="V52" s="3" t="n">
        <v>4625.01</v>
      </c>
      <c r="W52" s="3" t="inlineStr">
        <is>
          <t>B</t>
        </is>
      </c>
      <c r="X52" s="4" t="n">
        <v>46143</v>
      </c>
      <c r="Y52" s="4" t="n">
        <v>46203</v>
      </c>
      <c r="Z52" s="6" t="n"/>
      <c r="AA52" s="6" t="n"/>
      <c r="AB52" s="3" t="inlineStr">
        <is>
          <t>EJECUTADO</t>
        </is>
      </c>
      <c r="AC52" s="3" t="inlineStr">
        <is>
          <t>EJECUTADO</t>
        </is>
      </c>
      <c r="AD52" s="3" t="inlineStr">
        <is>
          <t>Campus / Mantenimiento</t>
        </is>
      </c>
      <c r="AE52" s="3" t="inlineStr">
        <is>
          <t>SC-0000116523-2026</t>
        </is>
      </c>
      <c r="AF52" s="7" t="n">
        <v>46063</v>
      </c>
      <c r="AG52" s="3" t="inlineStr">
        <is>
          <t>OC-0000125153-2026</t>
        </is>
      </c>
      <c r="AH52" s="7" t="n">
        <v>46107</v>
      </c>
      <c r="AI52" s="3" t="inlineStr">
        <is>
          <t>AM001197</t>
        </is>
      </c>
      <c r="AJ52" s="3" t="inlineStr">
        <is>
          <t>UTP_Tacna Parra_Implementar_bebedero</t>
        </is>
      </c>
      <c r="AK52" s="7" t="n">
        <v>46055</v>
      </c>
      <c r="AL52" s="3" t="inlineStr">
        <is>
          <t>ESEVERINO</t>
        </is>
      </c>
      <c r="AM52" s="3" t="inlineStr">
        <is>
          <t xml:space="preserve"> SC-0000119664-2026 cancelada</t>
        </is>
      </c>
    </row>
    <row r="53">
      <c r="A53" s="3" t="n">
        <v>48</v>
      </c>
      <c r="B53" s="3" t="inlineStr">
        <is>
          <t>OPS_047</t>
        </is>
      </c>
      <c r="C53" s="3" t="inlineStr">
        <is>
          <t>OPS</t>
        </is>
      </c>
      <c r="D53" s="3" t="inlineStr">
        <is>
          <t>Paola Revilla</t>
        </is>
      </c>
      <c r="H53" s="3" t="inlineStr">
        <is>
          <t>IMPLEMENTAR BEBEDEROS ADICIONALES (2)</t>
        </is>
      </c>
      <c r="I53" s="3" t="inlineStr">
        <is>
          <t>IMPLEMENTAR 3 BEBEDEROS CON DISPENSADOR ADICIONALES EN CADA TORRE, Actual hay 4 2 en cada torre 
TORRE A PISOS 4 6 Y AZOTEA,
TORRE B PISOS 4 6 Y PATIO POSTERIOR
PERMITE MEJORAR EL BIENESTAR DE LOS ESTUDIANTES,</t>
        </is>
      </c>
      <c r="J53" s="3" t="inlineStr">
        <is>
          <t>https://www,dropbox,com/scl/fo/cw5j6yx36j8ewdfsf8jm3/AMBbmgBy5gExys4L1xTXwyA?rlkey=mcloivayf24t39et30me9z5os&amp;dl=0</t>
        </is>
      </c>
      <c r="K53" s="3" t="inlineStr">
        <is>
          <t>OK</t>
        </is>
      </c>
      <c r="L53" s="3">
        <f>SUM(M53:O53)</f>
        <v/>
      </c>
      <c r="M53" s="3" t="n">
        <v>4</v>
      </c>
      <c r="N53" s="3" t="n">
        <v>5</v>
      </c>
      <c r="O53" s="3" t="n">
        <v>1</v>
      </c>
      <c r="Q53" s="3" t="inlineStr">
        <is>
          <t>SI</t>
        </is>
      </c>
      <c r="R53" s="3" t="inlineStr">
        <is>
          <t>UTP SJL</t>
        </is>
      </c>
      <c r="S53" s="3" t="n">
        <v>10220110</v>
      </c>
      <c r="T53" s="3" t="inlineStr">
        <is>
          <t>UTP AV,SOL SUB LT 13B MZG SJL - LIMA</t>
        </is>
      </c>
      <c r="U53" s="3" t="n">
        <v>14000</v>
      </c>
      <c r="V53" s="3" t="n">
        <v>4531.2</v>
      </c>
      <c r="W53" s="3" t="inlineStr">
        <is>
          <t>A</t>
        </is>
      </c>
      <c r="X53" s="4" t="n">
        <v>46244</v>
      </c>
      <c r="Y53" s="4" t="n">
        <v>46295</v>
      </c>
      <c r="Z53" s="4" t="n">
        <v>46082</v>
      </c>
      <c r="AA53" s="6" t="n"/>
      <c r="AB53" s="3" t="inlineStr">
        <is>
          <t>EN PROCESO</t>
        </is>
      </c>
      <c r="AD53" s="3" t="inlineStr">
        <is>
          <t>Campus</t>
        </is>
      </c>
      <c r="AE53" s="3" t="inlineStr">
        <is>
          <t>SC-0000115982-2026</t>
        </is>
      </c>
      <c r="AF53" s="7" t="n">
        <v>46056</v>
      </c>
      <c r="AG53" s="3" t="inlineStr">
        <is>
          <t>OC-0000126066-2026</t>
        </is>
      </c>
      <c r="AH53" s="7" t="n">
        <v>46121</v>
      </c>
      <c r="AI53" s="3" t="inlineStr">
        <is>
          <t>AM001198</t>
        </is>
      </c>
      <c r="AJ53" s="3" t="inlineStr">
        <is>
          <t>UTP_SJL_Implementar_bebederos</t>
        </is>
      </c>
      <c r="AK53" s="7" t="n">
        <v>46055</v>
      </c>
      <c r="AL53" s="3" t="inlineStr">
        <is>
          <t>ESEVERINO</t>
        </is>
      </c>
      <c r="AM53" s="3" t="inlineStr">
        <is>
          <t>Consultar con Campus solicitar # de solicitud</t>
        </is>
      </c>
    </row>
    <row r="54">
      <c r="A54" s="3" t="n">
        <v>49</v>
      </c>
      <c r="B54" s="3" t="inlineStr">
        <is>
          <t>OPS_048</t>
        </is>
      </c>
      <c r="C54" s="3" t="inlineStr">
        <is>
          <t>OPS</t>
        </is>
      </c>
      <c r="D54" s="3" t="inlineStr">
        <is>
          <t>Giovanni Ricaza</t>
        </is>
      </c>
      <c r="H54" s="3" t="inlineStr">
        <is>
          <t xml:space="preserve">Implementar bebederos en pisos 3 7 y 10 en sede Pacifico </t>
        </is>
      </c>
      <c r="I54" s="3" t="inlineStr">
        <is>
          <t>Impacto positivo en servicio al alumno ya que la sede no cuenta con bebederos estándares como las otras sedes</t>
        </is>
      </c>
      <c r="J54" s="3" t="inlineStr">
        <is>
          <t>Bebederos en piso 1 3 y 9</t>
        </is>
      </c>
      <c r="K54" s="3" t="inlineStr">
        <is>
          <t>OK</t>
        </is>
      </c>
      <c r="L54" s="3">
        <f>SUM(M54:O54)</f>
        <v/>
      </c>
      <c r="M54" s="3" t="n">
        <v>4</v>
      </c>
      <c r="N54" s="3" t="n">
        <v>5</v>
      </c>
      <c r="O54" s="3" t="n">
        <v>1</v>
      </c>
      <c r="Q54" s="3" t="inlineStr">
        <is>
          <t>SI</t>
        </is>
      </c>
      <c r="R54" s="3" t="inlineStr">
        <is>
          <t>UTP Lima Centro</t>
        </is>
      </c>
      <c r="S54" s="3" t="n">
        <v>10110102</v>
      </c>
      <c r="T54" s="3" t="inlineStr">
        <is>
          <t>UTP AREQUIPA 660- 670 - LIMA</t>
        </is>
      </c>
      <c r="U54" s="3" t="n">
        <v>18000</v>
      </c>
      <c r="V54" s="3" t="n">
        <v>14632</v>
      </c>
      <c r="W54" s="3" t="inlineStr">
        <is>
          <t>A</t>
        </is>
      </c>
      <c r="X54" s="4" t="n">
        <v>46082</v>
      </c>
      <c r="Y54" s="4" t="n">
        <v>46172</v>
      </c>
      <c r="Z54" s="4" t="n">
        <v>46082</v>
      </c>
      <c r="AA54" s="4" t="n">
        <v>46157</v>
      </c>
      <c r="AB54" s="3" t="inlineStr">
        <is>
          <t>EJECUTADO</t>
        </is>
      </c>
      <c r="AC54" s="3" t="inlineStr">
        <is>
          <t>EJECUTADO</t>
        </is>
      </c>
      <c r="AD54" s="3" t="inlineStr">
        <is>
          <t>Campus</t>
        </is>
      </c>
      <c r="AE54" s="3" t="inlineStr">
        <is>
          <t>SC-0000115953-2026</t>
        </is>
      </c>
      <c r="AF54" s="7" t="n">
        <v>46056</v>
      </c>
      <c r="AG54" s="3" t="inlineStr">
        <is>
          <t>OC-0000122652-2026</t>
        </is>
      </c>
      <c r="AH54" s="7" t="n">
        <v>46085</v>
      </c>
      <c r="AI54" s="3" t="inlineStr">
        <is>
          <t>AM001199</t>
        </is>
      </c>
      <c r="AJ54" s="3" t="inlineStr">
        <is>
          <t>UTP_Arq660-670_Implementar_bebederos_pisos 37 y 10</t>
        </is>
      </c>
      <c r="AK54" s="7" t="n">
        <v>46055</v>
      </c>
      <c r="AL54" s="3" t="inlineStr">
        <is>
          <t>ESEVERINO</t>
        </is>
      </c>
    </row>
    <row r="55">
      <c r="A55" s="3" t="n">
        <v>50</v>
      </c>
      <c r="B55" s="3" t="inlineStr">
        <is>
          <t>OPS_049</t>
        </is>
      </c>
      <c r="C55" s="3" t="inlineStr">
        <is>
          <t>OPS</t>
        </is>
      </c>
      <c r="D55" s="3" t="inlineStr">
        <is>
          <t xml:space="preserve">Carlos Sanchez Pariona </t>
        </is>
      </c>
      <c r="F55" s="3" t="inlineStr">
        <is>
          <t>csanchezp@utp,edu,pe</t>
        </is>
      </c>
      <c r="G55" s="3" t="inlineStr">
        <is>
          <t>951 317 089</t>
        </is>
      </c>
      <c r="H55" s="3" t="inlineStr">
        <is>
          <t>Implementar tomas eléctricas en la azotea Torre A</t>
        </is>
      </c>
      <c r="I55" s="3" t="inlineStr">
        <is>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is>
      </c>
      <c r="J55" s="3" t="inlineStr">
        <is>
          <t>https://www,dropbox,com/scl/fo/l0mm27m8nkjtmmc701rmj/APmOzac_jSv1DPLKjmuWBAQ?rlkey=spq9ps3s4j39iyu6zvxh5jkgr&amp;dl=0</t>
        </is>
      </c>
      <c r="K55" s="3" t="inlineStr">
        <is>
          <t>OK</t>
        </is>
      </c>
      <c r="L55" s="3">
        <f>SUM(M55:O55)</f>
        <v/>
      </c>
      <c r="M55" s="3" t="n">
        <v>5</v>
      </c>
      <c r="N55" s="3" t="n">
        <v>5</v>
      </c>
      <c r="O55" s="3" t="n">
        <v>1</v>
      </c>
      <c r="Q55" s="3" t="inlineStr">
        <is>
          <t>SI</t>
        </is>
      </c>
      <c r="R55" s="3" t="inlineStr">
        <is>
          <t>UTP SJL</t>
        </is>
      </c>
      <c r="S55" s="3" t="n">
        <v>10220110</v>
      </c>
      <c r="T55" s="3" t="inlineStr">
        <is>
          <t>UTP AV,SOL SUB LT 13B MZG SJL - LIMA</t>
        </is>
      </c>
      <c r="U55" s="3" t="n">
        <v>52000</v>
      </c>
      <c r="V55" s="3" t="n">
        <v>8138.46</v>
      </c>
      <c r="W55" s="3" t="inlineStr">
        <is>
          <t>A</t>
        </is>
      </c>
      <c r="X55" s="4" t="n">
        <v>46174</v>
      </c>
      <c r="Y55" s="4" t="n">
        <v>46295</v>
      </c>
      <c r="Z55" s="4" t="n">
        <v>46134</v>
      </c>
      <c r="AA55" s="6" t="n"/>
      <c r="AB55" s="3" t="inlineStr">
        <is>
          <t>EN PROCESO</t>
        </is>
      </c>
      <c r="AD55" s="3" t="inlineStr">
        <is>
          <t>Mantenimiento</t>
        </is>
      </c>
      <c r="AE55" s="3" t="inlineStr">
        <is>
          <t>SC-0000116817-2026</t>
        </is>
      </c>
      <c r="AF55" s="7" t="n">
        <v>46063</v>
      </c>
      <c r="AG55" s="3" t="inlineStr">
        <is>
          <t xml:space="preserve"> OC-0000123956-2026</t>
        </is>
      </c>
      <c r="AH55" s="7" t="n">
        <v>46097</v>
      </c>
      <c r="AI55" s="3" t="inlineStr">
        <is>
          <t>MEJ00207</t>
        </is>
      </c>
      <c r="AJ55" s="3" t="inlineStr">
        <is>
          <t>UTP_SJL_Implementar_tomas electricas_azotea Torre A</t>
        </is>
      </c>
      <c r="AK55" s="7" t="n">
        <v>46055</v>
      </c>
      <c r="AL55" s="3" t="inlineStr">
        <is>
          <t>ESEVERINO</t>
        </is>
      </c>
      <c r="AM55" s="3" t="inlineStr">
        <is>
          <t>NR OC-0000123956-2026 enviada, falta nuevos alcances para culminar</t>
        </is>
      </c>
    </row>
    <row r="56">
      <c r="A56" s="3" t="n">
        <v>51</v>
      </c>
      <c r="B56" s="3" t="inlineStr">
        <is>
          <t>OPS_050</t>
        </is>
      </c>
      <c r="C56" s="3" t="inlineStr">
        <is>
          <t>OPS</t>
        </is>
      </c>
      <c r="D56" s="3" t="inlineStr">
        <is>
          <t xml:space="preserve">Carlos Sanchez Pariona </t>
        </is>
      </c>
      <c r="F56" s="3" t="inlineStr">
        <is>
          <t>csanchezp@utp,edu,pe</t>
        </is>
      </c>
      <c r="G56" s="3" t="inlineStr">
        <is>
          <t>951 317 089</t>
        </is>
      </c>
      <c r="H56" s="3" t="inlineStr">
        <is>
          <t>Instalación de extractores en baños damas varones y discapacitados en Torre Petit Thoaurs</t>
        </is>
      </c>
      <c r="I56" s="3" t="inlineStr">
        <is>
          <t>Solo hay extractores en baños varones del piso 1 al 5, Se necesita instalar del 1 al 15 en baño damas y discapacitados y baño de varones del piso 6 al 15, Debido a malos olores en los 40 baños</t>
        </is>
      </c>
      <c r="J56" s="3" t="inlineStr">
        <is>
          <t>https://www,dropbox,com/scl/fi/2htg1gbdek9wr6e2g0y57/Iniciativas-mejora-2025,pptx?rlkey=ucwlfkeatbngte3u1q2nij5lp&amp;st=ukeg7lj8&amp;dl=0</t>
        </is>
      </c>
      <c r="K56" s="3" t="inlineStr">
        <is>
          <t>OK</t>
        </is>
      </c>
      <c r="L56" s="3">
        <f>SUM(M56:O56)</f>
        <v/>
      </c>
      <c r="M56" s="3" t="n">
        <v>4</v>
      </c>
      <c r="N56" s="3" t="n">
        <v>5</v>
      </c>
      <c r="O56" s="3" t="n">
        <v>1</v>
      </c>
      <c r="Q56" s="3" t="inlineStr">
        <is>
          <t>SI</t>
        </is>
      </c>
      <c r="R56" s="3" t="inlineStr">
        <is>
          <t>UTP Lima Centro</t>
        </is>
      </c>
      <c r="S56" s="3" t="n">
        <v>10110204</v>
      </c>
      <c r="T56" s="3" t="inlineStr">
        <is>
          <t>UTP PETIT THOU383-385-TORRE II - LIMA</t>
        </is>
      </c>
      <c r="U56" s="3" t="n">
        <v>60000</v>
      </c>
      <c r="W56" s="3" t="inlineStr">
        <is>
          <t>A</t>
        </is>
      </c>
      <c r="X56" s="4" t="n">
        <v>46174</v>
      </c>
      <c r="Y56" s="4" t="n">
        <v>46295</v>
      </c>
      <c r="Z56" s="6" t="n"/>
      <c r="AA56" s="6" t="n"/>
      <c r="AB56" s="3" t="inlineStr">
        <is>
          <t>EN PROCESO</t>
        </is>
      </c>
      <c r="AD56" s="3" t="inlineStr">
        <is>
          <t>Mantenimiento</t>
        </is>
      </c>
      <c r="AE56" s="3" t="inlineStr">
        <is>
          <t>SC-0000116822-2026</t>
        </is>
      </c>
      <c r="AF56" s="7" t="n">
        <v>46063</v>
      </c>
      <c r="AG56" s="3" t="inlineStr">
        <is>
          <t>SC DEVUELTA</t>
        </is>
      </c>
      <c r="AI56" s="3" t="inlineStr">
        <is>
          <t>AM001200</t>
        </is>
      </c>
      <c r="AJ56" s="3" t="inlineStr">
        <is>
          <t>UTP_PTT383-385_Instalacion_extractores_SSHH</t>
        </is>
      </c>
      <c r="AK56" s="7" t="n">
        <v>46055</v>
      </c>
      <c r="AL56" s="3" t="inlineStr">
        <is>
          <t>ESEVERINO</t>
        </is>
      </c>
      <c r="AM56" s="3" t="inlineStr">
        <is>
          <t>SC DEVUELTA POR REDIFINIR NUEVO ALCANCE TECNICO</t>
        </is>
      </c>
    </row>
    <row r="57">
      <c r="A57" s="3" t="n">
        <v>52</v>
      </c>
      <c r="B57" s="3" t="inlineStr">
        <is>
          <t>OPS_051</t>
        </is>
      </c>
      <c r="C57" s="3" t="inlineStr">
        <is>
          <t>OPS</t>
        </is>
      </c>
      <c r="D57" s="3" t="inlineStr">
        <is>
          <t>Luis García</t>
        </is>
      </c>
      <c r="H57" s="3" t="inlineStr">
        <is>
          <t>la implementación de equipos de HVAC en los cuartos de data center del piso 6 y piso 8</t>
        </is>
      </c>
      <c r="I57" s="3" t="inlineStr">
        <is>
          <t xml:space="preserve">SOLICITADO POR ELIDA </t>
        </is>
      </c>
      <c r="K57" s="3" t="inlineStr">
        <is>
          <t>OK</t>
        </is>
      </c>
      <c r="L57" s="3">
        <f>SUM(M57:O57)</f>
        <v/>
      </c>
      <c r="M57" s="3" t="n">
        <v>1</v>
      </c>
      <c r="N57" s="3" t="n">
        <v>3</v>
      </c>
      <c r="O57" s="3" t="n">
        <v>5</v>
      </c>
      <c r="Q57" s="3" t="inlineStr">
        <is>
          <t>SI</t>
        </is>
      </c>
      <c r="R57" s="3" t="inlineStr">
        <is>
          <t>UTP Lima Norte</t>
        </is>
      </c>
      <c r="S57" s="3" t="n">
        <v>10220111</v>
      </c>
      <c r="T57" s="3" t="inlineStr">
        <is>
          <t>UTP AV,INFANTAS MZ 2E LOTE 28, URB, STA LUISA - LOS OLIVOS</t>
        </is>
      </c>
      <c r="U57" s="3" t="n">
        <v>20000</v>
      </c>
      <c r="V57" s="3" t="n">
        <v>7977.52</v>
      </c>
      <c r="W57" s="3" t="inlineStr">
        <is>
          <t>B</t>
        </is>
      </c>
      <c r="X57" s="4" t="n">
        <v>46233</v>
      </c>
      <c r="Y57" s="4" t="n">
        <v>46295</v>
      </c>
      <c r="Z57" s="4" t="n">
        <v>46193</v>
      </c>
      <c r="AA57" s="6" t="n"/>
      <c r="AB57" s="3" t="inlineStr">
        <is>
          <t>EN PROCESO</t>
        </is>
      </c>
      <c r="AD57" s="3" t="inlineStr">
        <is>
          <t>Mantenimiento</t>
        </is>
      </c>
      <c r="AE57" s="3" t="inlineStr">
        <is>
          <t>SC-0000116474-2026</t>
        </is>
      </c>
      <c r="AF57" s="7" t="n">
        <v>46060</v>
      </c>
      <c r="AG57" s="3" t="inlineStr">
        <is>
          <t>OC-0000133497-2026</t>
        </is>
      </c>
      <c r="AH57" s="7" t="n">
        <v>46177</v>
      </c>
      <c r="AI57" s="3" t="inlineStr">
        <is>
          <t>PROY1383</t>
        </is>
      </c>
      <c r="AJ57" s="3" t="inlineStr">
        <is>
          <t>UTP_LN MZ 2E Lote 28_Implementacion_equipos HVAC_cuartos data enter_piso 6 y piso 8</t>
        </is>
      </c>
      <c r="AK57" s="7" t="n">
        <v>46055</v>
      </c>
      <c r="AL57" s="3" t="inlineStr">
        <is>
          <t>ESEVERINO</t>
        </is>
      </c>
      <c r="AM57" s="3" t="inlineStr">
        <is>
          <t>OC-0000133497-2026 TIENE NR/</t>
        </is>
      </c>
    </row>
    <row r="58">
      <c r="A58" s="3" t="n">
        <v>53</v>
      </c>
      <c r="B58" s="3" t="inlineStr">
        <is>
          <t>OPS_052</t>
        </is>
      </c>
      <c r="C58" s="3" t="inlineStr">
        <is>
          <t>OPS</t>
        </is>
      </c>
      <c r="D58" s="3" t="inlineStr">
        <is>
          <t xml:space="preserve">Elmer Raul ILLANES PAUCAR </t>
        </is>
      </c>
      <c r="F58" s="3" t="inlineStr">
        <is>
          <t>eillanes@utp,edu,pe</t>
        </is>
      </c>
      <c r="G58" s="3" t="inlineStr">
        <is>
          <t>994 690 404</t>
        </is>
      </c>
      <c r="H58" s="3" t="inlineStr">
        <is>
          <t>Mejorar Iluminación en el perímetro de Sede Central (28 de julio y Petit Thouars) y en LN (frontis posterior)</t>
        </is>
      </c>
      <c r="J58" s="3" t="inlineStr">
        <is>
          <t>ILUMINACION PERIMETRO 2026</t>
        </is>
      </c>
      <c r="Q58" s="3" t="inlineStr">
        <is>
          <t>SI</t>
        </is>
      </c>
      <c r="R58" s="3" t="inlineStr">
        <is>
          <t>UTP Lima Centro</t>
        </is>
      </c>
      <c r="S58" s="3" t="n">
        <v>10110201</v>
      </c>
      <c r="T58" s="3" t="inlineStr">
        <is>
          <t>UTP PETITTHOURS 116 -  LIMA</t>
        </is>
      </c>
      <c r="U58" s="3" t="n">
        <v>21500</v>
      </c>
      <c r="V58" s="3" t="n">
        <v>36989.6</v>
      </c>
      <c r="W58" s="3" t="inlineStr">
        <is>
          <t>B</t>
        </is>
      </c>
      <c r="X58" s="4" t="n">
        <v>46082</v>
      </c>
      <c r="Y58" s="4" t="n">
        <v>46082</v>
      </c>
      <c r="Z58" s="4" t="n">
        <v>46082</v>
      </c>
      <c r="AA58" s="4" t="n">
        <v>46111</v>
      </c>
      <c r="AB58" s="3" t="inlineStr">
        <is>
          <t>EJECUTADO</t>
        </is>
      </c>
      <c r="AC58" s="3" t="inlineStr">
        <is>
          <t>EJECUTADO</t>
        </is>
      </c>
      <c r="AD58" s="3" t="inlineStr">
        <is>
          <t>Mantenimiento</t>
        </is>
      </c>
      <c r="AE58" s="3" t="inlineStr">
        <is>
          <t>SC-0000116624-2026</t>
        </is>
      </c>
      <c r="AF58" s="7" t="n">
        <v>46062</v>
      </c>
      <c r="AG58" s="3" t="inlineStr">
        <is>
          <t>OC-0000122223-2026</t>
        </is>
      </c>
      <c r="AH58" s="7" t="n">
        <v>46080</v>
      </c>
      <c r="AI58" s="3" t="inlineStr">
        <is>
          <t>MEJ00208</t>
        </is>
      </c>
      <c r="AJ58" s="3" t="inlineStr">
        <is>
          <t>UTP_PTT116_Mejorar Iluminacion en el perimetro de Sede Central (28 de julio y Petit Thouars) y en LN (frontis posterior)</t>
        </is>
      </c>
      <c r="AK58" s="7" t="n">
        <v>46055</v>
      </c>
      <c r="AL58" s="3" t="inlineStr">
        <is>
          <t>ESEVERINO</t>
        </is>
      </c>
    </row>
    <row r="59">
      <c r="A59" s="3" t="n">
        <v>54</v>
      </c>
      <c r="B59" s="3" t="inlineStr">
        <is>
          <t>OPS_053</t>
        </is>
      </c>
      <c r="C59" s="3" t="inlineStr">
        <is>
          <t>OPS</t>
        </is>
      </c>
      <c r="D59" s="3" t="inlineStr">
        <is>
          <t xml:space="preserve">Elmer Raul ILLANES PAUCAR </t>
        </is>
      </c>
      <c r="F59" s="3" t="inlineStr">
        <is>
          <t>eillanes@utp,edu,pe</t>
        </is>
      </c>
      <c r="G59" s="3" t="inlineStr">
        <is>
          <t>994 690 404</t>
        </is>
      </c>
      <c r="H59" s="3" t="inlineStr">
        <is>
          <t>Mejorar Iluminación en el perímetro de Sede Central (28 de julio y Petit Thouars) y en LN (frontis posterior)</t>
        </is>
      </c>
      <c r="I59" s="3" t="inlineStr">
        <is>
          <t>Se requiere iluminación perimetral en Sede Central  por el lado de 28 de Julio y Petit Thouars, Y alumbrar el lado derecho del frontis de LN en el cerco perimetral y parte posterior de la sede</t>
        </is>
      </c>
      <c r="J59" s="3" t="inlineStr">
        <is>
          <t>ILUMINACION PERIMETRO 2026</t>
        </is>
      </c>
      <c r="K59" s="3" t="inlineStr">
        <is>
          <t>OK</t>
        </is>
      </c>
      <c r="L59" s="3">
        <f>SUM(M59:O59)</f>
        <v/>
      </c>
      <c r="M59" s="3" t="n">
        <v>4</v>
      </c>
      <c r="N59" s="3" t="n">
        <v>4</v>
      </c>
      <c r="O59" s="3" t="n">
        <v>1</v>
      </c>
      <c r="Q59" s="3" t="inlineStr">
        <is>
          <t>SI</t>
        </is>
      </c>
      <c r="R59" s="3" t="inlineStr">
        <is>
          <t>UTP Lima Norte</t>
        </is>
      </c>
      <c r="S59" s="3" t="n">
        <v>10220111</v>
      </c>
      <c r="T59" s="3" t="inlineStr">
        <is>
          <t>UTP AV,INFANTAS MZ 2E LOTE 28, URB, STA LUISA - LOS OLIVOS</t>
        </is>
      </c>
      <c r="U59" s="3" t="n">
        <v>21500</v>
      </c>
      <c r="V59" s="3" t="n">
        <v>21634.75</v>
      </c>
      <c r="W59" s="3" t="inlineStr">
        <is>
          <t>B</t>
        </is>
      </c>
      <c r="X59" s="4" t="n">
        <v>46233</v>
      </c>
      <c r="Y59" s="4" t="n">
        <v>46295</v>
      </c>
      <c r="Z59" s="6" t="n"/>
      <c r="AA59" s="6" t="n"/>
      <c r="AB59" s="3" t="inlineStr">
        <is>
          <t>EN PROCESO</t>
        </is>
      </c>
      <c r="AD59" s="3" t="inlineStr">
        <is>
          <t>Mantenimiento</t>
        </is>
      </c>
      <c r="AE59" s="3" t="inlineStr">
        <is>
          <t>SC-0000116634-2026</t>
        </is>
      </c>
      <c r="AF59" s="7" t="n">
        <v>46062</v>
      </c>
      <c r="AG59" s="3" t="inlineStr">
        <is>
          <t>OC-0000138271-2026</t>
        </is>
      </c>
      <c r="AH59" s="7" t="n">
        <v>46205</v>
      </c>
      <c r="AI59" s="3" t="inlineStr">
        <is>
          <t>MEJ00209</t>
        </is>
      </c>
      <c r="AJ59" s="3" t="inlineStr">
        <is>
          <t>UTP_LN_MZ 2E Lote 28_Mejorar Iluminacion en el perimetro de Sede Central (28 de julio y Petit Thouars) y en LN (frontis posterior)</t>
        </is>
      </c>
      <c r="AK59" s="7" t="n">
        <v>46055</v>
      </c>
      <c r="AL59" s="3" t="inlineStr">
        <is>
          <t>ESEVERINO</t>
        </is>
      </c>
      <c r="AM59" s="3" t="inlineStr">
        <is>
          <t>SC EN APROBACION</t>
        </is>
      </c>
    </row>
    <row r="60">
      <c r="A60" s="3" t="n">
        <v>55</v>
      </c>
      <c r="B60" s="3" t="inlineStr">
        <is>
          <t>OPS_054</t>
        </is>
      </c>
      <c r="C60" s="3" t="inlineStr">
        <is>
          <t>OPS</t>
        </is>
      </c>
      <c r="D60" s="3" t="inlineStr">
        <is>
          <t>Freddy Valderrama</t>
        </is>
      </c>
      <c r="H60" s="3" t="inlineStr">
        <is>
          <t>Parra 1  - Patio San Isidro - Elevador para discapacitados</t>
        </is>
      </c>
      <c r="I60" s="3" t="inlineStr">
        <is>
          <t>Plataforma para que discapacitados tengan acceso al patio San Isidro</t>
        </is>
      </c>
      <c r="J60" s="3" t="inlineStr">
        <is>
          <t>15,Parra 1 - Patio San Isidro - Elevador para discapacitados,mp4</t>
        </is>
      </c>
      <c r="K60" s="3" t="inlineStr">
        <is>
          <t>OK</t>
        </is>
      </c>
      <c r="L60" s="3">
        <f>SUM(M60:O60)</f>
        <v/>
      </c>
      <c r="M60" s="3" t="n">
        <v>5</v>
      </c>
      <c r="N60" s="3" t="n">
        <v>5</v>
      </c>
      <c r="O60" s="3" t="n">
        <v>3</v>
      </c>
      <c r="P60" s="3" t="inlineStr">
        <is>
          <t>OK para evaluar en función a la evacuación</t>
        </is>
      </c>
      <c r="Q60" s="3" t="inlineStr">
        <is>
          <t>SI</t>
        </is>
      </c>
      <c r="R60" s="3" t="inlineStr">
        <is>
          <t>UTP Arequipa</t>
        </is>
      </c>
      <c r="S60" s="3" t="n">
        <v>70110103</v>
      </c>
      <c r="T60" s="3" t="inlineStr">
        <is>
          <t>UTP PARRA 201-203 -  AREQUIPA</t>
        </is>
      </c>
      <c r="U60" s="3" t="n">
        <v>100000</v>
      </c>
      <c r="W60" s="3" t="inlineStr">
        <is>
          <t>A</t>
        </is>
      </c>
      <c r="X60" s="4" t="n">
        <v>46235</v>
      </c>
      <c r="Y60" s="4" t="n">
        <v>46325</v>
      </c>
      <c r="Z60" s="6" t="n"/>
      <c r="AA60" s="6" t="n"/>
      <c r="AB60" s="3" t="inlineStr">
        <is>
          <t>EN PROCESO</t>
        </is>
      </c>
      <c r="AD60" s="3" t="inlineStr">
        <is>
          <t>Infraestructura</t>
        </is>
      </c>
    </row>
    <row r="61">
      <c r="A61" s="3" t="n">
        <v>56</v>
      </c>
      <c r="B61" s="3" t="inlineStr">
        <is>
          <t>OPS_055</t>
        </is>
      </c>
      <c r="C61" s="3" t="inlineStr">
        <is>
          <t>OPS</t>
        </is>
      </c>
      <c r="D61" s="3" t="inlineStr">
        <is>
          <t xml:space="preserve">Elmer Raul ILLANES PAUCAR </t>
        </is>
      </c>
      <c r="F61" s="3" t="inlineStr">
        <is>
          <t>eillanes@utp,edu,pe</t>
        </is>
      </c>
      <c r="G61" s="3" t="inlineStr">
        <is>
          <t>994 690 404</t>
        </is>
      </c>
      <c r="H61" s="3" t="inlineStr">
        <is>
          <t>Parra 1 - Estacionamientos - 02 puntos de agua</t>
        </is>
      </c>
      <c r="I61" s="3" t="inlineStr">
        <is>
          <t>Habilibitar 1 punto de agua en estacionamientos de sótano 3 y 1 punto de agua en sótano 4</t>
        </is>
      </c>
      <c r="J61" s="3" t="inlineStr">
        <is>
          <t>08,Parra 2 - Estacionamientos - 02 puntos de agua,mp4</t>
        </is>
      </c>
      <c r="K61" s="3" t="inlineStr">
        <is>
          <t>OK</t>
        </is>
      </c>
      <c r="L61" s="3">
        <f>SUM(M61:O61)</f>
        <v/>
      </c>
      <c r="M61" s="3" t="n">
        <v>1</v>
      </c>
      <c r="N61" s="3" t="n">
        <v>2</v>
      </c>
      <c r="O61" s="3" t="n">
        <v>4</v>
      </c>
      <c r="Q61" s="3" t="inlineStr">
        <is>
          <t>SI</t>
        </is>
      </c>
      <c r="R61" s="3" t="inlineStr">
        <is>
          <t>UTP Arequipa</t>
        </is>
      </c>
      <c r="S61" s="3" t="n">
        <v>70110107</v>
      </c>
      <c r="T61" s="3" t="inlineStr">
        <is>
          <t>UTP PARRA WASHINGT 217-219 AREQUIPA</t>
        </is>
      </c>
      <c r="U61" s="3" t="n">
        <v>6375.35</v>
      </c>
      <c r="V61" s="3" t="n">
        <v>6375.35</v>
      </c>
      <c r="W61" s="3" t="inlineStr">
        <is>
          <t>C</t>
        </is>
      </c>
      <c r="X61" s="4" t="n">
        <v>46143</v>
      </c>
      <c r="Y61" s="4" t="n">
        <v>46203</v>
      </c>
      <c r="Z61" s="4" t="n">
        <v>46082</v>
      </c>
      <c r="AA61" s="4" t="n">
        <v>46162</v>
      </c>
      <c r="AB61" s="3" t="inlineStr">
        <is>
          <t>EJECUTADO</t>
        </is>
      </c>
      <c r="AC61" s="3" t="inlineStr">
        <is>
          <t>EJECUTADO</t>
        </is>
      </c>
      <c r="AD61" s="3" t="inlineStr">
        <is>
          <t>Mantenimiento</t>
        </is>
      </c>
      <c r="AE61" s="3" t="inlineStr">
        <is>
          <t>SC-0000118387-2026</t>
        </is>
      </c>
      <c r="AF61" s="7" t="n">
        <v>46078</v>
      </c>
      <c r="AG61" s="3" t="inlineStr">
        <is>
          <t>OC-0000128327-2026</t>
        </is>
      </c>
      <c r="AH61" s="7" t="n">
        <v>46141</v>
      </c>
      <c r="AI61" s="3" t="inlineStr">
        <is>
          <t>MEJ00210</t>
        </is>
      </c>
      <c r="AJ61" s="3" t="inlineStr">
        <is>
          <t>UTP_Parra 2 _Estacionamientos_02 puntos de agua</t>
        </is>
      </c>
      <c r="AK61" s="7" t="n">
        <v>46055</v>
      </c>
      <c r="AL61" s="3" t="inlineStr">
        <is>
          <t>ESEVERINO</t>
        </is>
      </c>
    </row>
    <row r="62">
      <c r="A62" s="3" t="n">
        <v>57</v>
      </c>
      <c r="B62" s="3" t="inlineStr">
        <is>
          <t>OPS_056</t>
        </is>
      </c>
      <c r="C62" s="3" t="inlineStr">
        <is>
          <t>OPS</t>
        </is>
      </c>
      <c r="D62" s="3" t="inlineStr">
        <is>
          <t>Eloy Pocohuanca</t>
        </is>
      </c>
      <c r="F62" s="3" t="inlineStr">
        <is>
          <t>epocohuanc@utp,edu,pe</t>
        </is>
      </c>
      <c r="G62" s="3" t="inlineStr">
        <is>
          <t>937 029 622</t>
        </is>
      </c>
      <c r="H62" s="3" t="inlineStr">
        <is>
          <t xml:space="preserve">Proyecto de estandarización de cafeterías </t>
        </is>
      </c>
      <c r="Q62" s="3" t="inlineStr">
        <is>
          <t>SI</t>
        </is>
      </c>
      <c r="R62" s="3" t="inlineStr">
        <is>
          <t>UTP Huancayo</t>
        </is>
      </c>
      <c r="S62" s="3" t="n">
        <v>70190101</v>
      </c>
      <c r="T62" s="3" t="inlineStr">
        <is>
          <t>UTP AV,CIRCUNVALACIÓN 449 - HUANCAYO</t>
        </is>
      </c>
      <c r="U62" s="3" t="n">
        <v>27000</v>
      </c>
      <c r="V62" s="3" t="n">
        <v>15871.9776</v>
      </c>
      <c r="W62" s="3" t="inlineStr">
        <is>
          <t>B</t>
        </is>
      </c>
      <c r="X62" s="4" t="n">
        <v>46174</v>
      </c>
      <c r="Y62" s="4" t="n">
        <v>46295</v>
      </c>
      <c r="Z62" s="4" t="n">
        <v>46174</v>
      </c>
      <c r="AA62" s="6" t="n"/>
      <c r="AB62" s="3" t="inlineStr">
        <is>
          <t>EN PROCESO</t>
        </is>
      </c>
      <c r="AD62" s="3" t="inlineStr">
        <is>
          <t>Proyectos Ops</t>
        </is>
      </c>
      <c r="AE62" s="3" t="inlineStr">
        <is>
          <t>SC-0000126648-2026 / SC-0000126650-2026/SC-0000140266-2026</t>
        </is>
      </c>
      <c r="AF62" s="7" t="n">
        <v>46147</v>
      </c>
      <c r="AG62" s="3" t="inlineStr">
        <is>
          <t>OC-0000133495-2026 / OC-0000135467-2026/ OC-0000142569-2026</t>
        </is>
      </c>
      <c r="AH62" s="3" t="inlineStr">
        <is>
          <t>04/06 / 15/06 04/08</t>
        </is>
      </c>
      <c r="AI62" s="3" t="inlineStr">
        <is>
          <t>PROY1384</t>
        </is>
      </c>
      <c r="AJ62" s="3" t="inlineStr">
        <is>
          <t xml:space="preserve">UTP_Hcyo_Proyecto_estandarizacion_cafeterias </t>
        </is>
      </c>
      <c r="AK62" s="7" t="n">
        <v>46055</v>
      </c>
      <c r="AL62" s="3" t="inlineStr">
        <is>
          <t>ESEVERINO</t>
        </is>
      </c>
      <c r="AM62" s="3" t="inlineStr">
        <is>
          <t>SC-0000126650-2026 (GENERICO) / NR OC-0000133495-2026 enviado/NR ENVIADA OC-0000142569-2026/OC-0000135467-2026 NR ENVIADA</t>
        </is>
      </c>
    </row>
    <row r="63">
      <c r="A63" s="3" t="n">
        <v>58</v>
      </c>
      <c r="B63" s="3" t="inlineStr">
        <is>
          <t>OPS_057</t>
        </is>
      </c>
      <c r="C63" s="3" t="inlineStr">
        <is>
          <t>OPS</t>
        </is>
      </c>
      <c r="D63" s="3" t="inlineStr">
        <is>
          <t>Eloy Pocohuanca</t>
        </is>
      </c>
      <c r="F63" s="3" t="inlineStr">
        <is>
          <t>epocohuanc@utp,edu,pe</t>
        </is>
      </c>
      <c r="G63" s="3" t="inlineStr">
        <is>
          <t>937 029 622</t>
        </is>
      </c>
      <c r="H63" s="3" t="inlineStr">
        <is>
          <t xml:space="preserve">Proyecto de estandarización de cafeterías </t>
        </is>
      </c>
      <c r="Q63" s="3" t="inlineStr">
        <is>
          <t>SI</t>
        </is>
      </c>
      <c r="R63" s="3" t="inlineStr">
        <is>
          <t>UTP Ica</t>
        </is>
      </c>
      <c r="S63" s="3" t="n">
        <v>70160101</v>
      </c>
      <c r="T63" s="3" t="inlineStr">
        <is>
          <t>UTP SUB EUB-5 SAN JOSE - ICA</t>
        </is>
      </c>
      <c r="U63" s="3" t="n">
        <v>27000</v>
      </c>
      <c r="V63" s="3" t="n">
        <v>30853.03</v>
      </c>
      <c r="W63" s="3" t="inlineStr">
        <is>
          <t>B</t>
        </is>
      </c>
      <c r="X63" s="4" t="n">
        <v>46174</v>
      </c>
      <c r="Y63" s="4" t="n">
        <v>46295</v>
      </c>
      <c r="Z63" s="4" t="n">
        <v>46174</v>
      </c>
      <c r="AA63" s="6" t="n"/>
      <c r="AB63" s="3" t="inlineStr">
        <is>
          <t>EN PROCESO</t>
        </is>
      </c>
      <c r="AD63" s="3" t="inlineStr">
        <is>
          <t>Proyectos Ops</t>
        </is>
      </c>
      <c r="AE63" s="3" t="inlineStr">
        <is>
          <t>SC-0000126648-2026 / SC-0000126649-2026 / SC-0000126650-2026 / SC-0000140260-2026</t>
        </is>
      </c>
      <c r="AF63" s="7" t="n">
        <v>46147</v>
      </c>
      <c r="AG63" s="3" t="inlineStr">
        <is>
          <t xml:space="preserve"> OC-0000132200-2026 / OC-0000132404-2026 /OC-0000133495-2026/OC-0000137135-2026/OC-0000142573-2026</t>
        </is>
      </c>
      <c r="AH63" s="3" t="inlineStr">
        <is>
          <t>25/05 / 27/05 / 04/06 /25/06 04/08</t>
        </is>
      </c>
      <c r="AI63" s="3" t="inlineStr">
        <is>
          <t>PROY1385</t>
        </is>
      </c>
      <c r="AJ63" s="3" t="inlineStr">
        <is>
          <t xml:space="preserve">UTP_Ica_Proyecto_estandarizacion_cafeterias </t>
        </is>
      </c>
      <c r="AK63" s="7" t="n">
        <v>46055</v>
      </c>
      <c r="AL63" s="3" t="inlineStr">
        <is>
          <t>ESEVERINO</t>
        </is>
      </c>
      <c r="AM63" s="3" t="inlineStr">
        <is>
          <t>SC-0000126650-2026 - SC-0000126648-2026 ( GENERICO) (OC-0000137135-2026 AM000974) / NR enviada: OC-0000132404-2026/ NR  enviada OC-0000142538-2026 /NR ENVIADA OC-0000142573-2026/NR ENVIADA OC-0000137135-2026</t>
        </is>
      </c>
    </row>
    <row r="64">
      <c r="A64" s="3" t="n">
        <v>59</v>
      </c>
      <c r="B64" s="3" t="inlineStr">
        <is>
          <t>OPS_058</t>
        </is>
      </c>
      <c r="C64" s="3" t="inlineStr">
        <is>
          <t>OPS</t>
        </is>
      </c>
      <c r="D64" s="3" t="inlineStr">
        <is>
          <t>Eloy Pocohuanca</t>
        </is>
      </c>
      <c r="F64" s="3" t="inlineStr">
        <is>
          <t>epocohuanc@utp,edu,pe</t>
        </is>
      </c>
      <c r="G64" s="3" t="inlineStr">
        <is>
          <t>937 029 622</t>
        </is>
      </c>
      <c r="H64" s="3" t="inlineStr">
        <is>
          <t xml:space="preserve">Proyecto de estandarización de cafeterías </t>
        </is>
      </c>
      <c r="Q64" s="3" t="inlineStr">
        <is>
          <t>SI</t>
        </is>
      </c>
      <c r="R64" s="3" t="inlineStr">
        <is>
          <t>UTP Trujillo</t>
        </is>
      </c>
      <c r="S64" s="3" t="n">
        <v>70180103</v>
      </c>
      <c r="T64" s="3" t="inlineStr">
        <is>
          <t>UTP NICOLAS PIEROLA - TRUJILLO</t>
        </is>
      </c>
      <c r="U64" s="3" t="n">
        <v>27000</v>
      </c>
      <c r="V64" s="3" t="n">
        <v>14434.0206</v>
      </c>
      <c r="W64" s="3" t="inlineStr">
        <is>
          <t>B</t>
        </is>
      </c>
      <c r="X64" s="4" t="n">
        <v>46113</v>
      </c>
      <c r="Y64" s="4" t="n">
        <v>46264</v>
      </c>
      <c r="Z64" s="4" t="n">
        <v>46174</v>
      </c>
      <c r="AA64" s="6" t="n"/>
      <c r="AB64" s="3" t="inlineStr">
        <is>
          <t>EJECUTADO</t>
        </is>
      </c>
      <c r="AD64" s="3" t="inlineStr">
        <is>
          <t>Proyectos Ops</t>
        </is>
      </c>
      <c r="AE64" s="3" t="inlineStr">
        <is>
          <t>SC-0000126648-2026 / SC-0000126650-2026 / SC-0000138448-2026/SC-0000143980-2026</t>
        </is>
      </c>
      <c r="AF64" s="3" t="inlineStr">
        <is>
          <t>05/05 09/09</t>
        </is>
      </c>
      <c r="AG64" s="3" t="inlineStr">
        <is>
          <t>OC-0000133495-2026 / OC-0000135468-2026 /  OC-0000142575-2026</t>
        </is>
      </c>
      <c r="AH64" s="3" t="inlineStr">
        <is>
          <t>04/06 / 15/06 04/08</t>
        </is>
      </c>
      <c r="AI64" s="3" t="inlineStr">
        <is>
          <t>PROY1386</t>
        </is>
      </c>
      <c r="AJ64" s="3" t="inlineStr">
        <is>
          <t xml:space="preserve">UTP_Trujillo_Proyecto_estandarizacion_cafeterias </t>
        </is>
      </c>
      <c r="AK64" s="7" t="n">
        <v>46055</v>
      </c>
      <c r="AL64" s="3" t="inlineStr">
        <is>
          <t>ESEVERINO</t>
        </is>
      </c>
      <c r="AM64" s="3" t="inlineStr">
        <is>
          <t>SC-0000126650-2026 (GENERICO) / NR OC-0000133495-2026 enviado/ NR OC-0000142538-2026 ENVIADA/ NR OC-0000135468-2026 ENVIADA/OC-0000142575-2026 TIENE NR</t>
        </is>
      </c>
    </row>
    <row r="65">
      <c r="A65" s="3" t="n">
        <v>60</v>
      </c>
      <c r="B65" s="3" t="inlineStr">
        <is>
          <t>OPS_059</t>
        </is>
      </c>
      <c r="C65" s="3" t="inlineStr">
        <is>
          <t>OPS</t>
        </is>
      </c>
      <c r="D65" s="3" t="inlineStr">
        <is>
          <t>Eloy Pocohuanca</t>
        </is>
      </c>
      <c r="F65" s="3" t="inlineStr">
        <is>
          <t>epocohuanc@utp,edu,pe</t>
        </is>
      </c>
      <c r="G65" s="3" t="inlineStr">
        <is>
          <t>937 029 622</t>
        </is>
      </c>
      <c r="H65" s="3" t="inlineStr">
        <is>
          <t xml:space="preserve">Proyecto de estandarización de cafeterías </t>
        </is>
      </c>
      <c r="Q65" s="3" t="inlineStr">
        <is>
          <t>SI</t>
        </is>
      </c>
      <c r="R65" s="3" t="inlineStr">
        <is>
          <t>UTP Chimbote</t>
        </is>
      </c>
      <c r="S65" s="3" t="n">
        <v>70150101</v>
      </c>
      <c r="T65" s="3" t="inlineStr">
        <is>
          <t>UTP PASERO DEL MAR MZ C9- LT2 - CHIMBOTE</t>
        </is>
      </c>
      <c r="U65" s="3" t="n">
        <v>27000</v>
      </c>
      <c r="V65" s="3" t="n">
        <v>2799.9984</v>
      </c>
      <c r="W65" s="3" t="inlineStr">
        <is>
          <t>B</t>
        </is>
      </c>
      <c r="X65" s="4" t="n">
        <v>46113</v>
      </c>
      <c r="Y65" s="4" t="n">
        <v>46264</v>
      </c>
      <c r="Z65" s="4" t="n">
        <v>46174</v>
      </c>
      <c r="AA65" s="6" t="n"/>
      <c r="AB65" s="3" t="inlineStr">
        <is>
          <t>EJECUTADO</t>
        </is>
      </c>
      <c r="AD65" s="3" t="inlineStr">
        <is>
          <t>Proyectos Ops</t>
        </is>
      </c>
      <c r="AE65" s="3" t="inlineStr">
        <is>
          <t>SC-0000126648-2026 / SC-0000126650-2026</t>
        </is>
      </c>
      <c r="AF65" s="7" t="n">
        <v>46147</v>
      </c>
      <c r="AG65" s="3" t="inlineStr">
        <is>
          <t>OC-0000133495-2026 / OC-0000135466-2026/OC-0000142565-2026</t>
        </is>
      </c>
      <c r="AH65" s="3" t="inlineStr">
        <is>
          <t>04/06 / 15/06 /  08/04</t>
        </is>
      </c>
      <c r="AI65" s="3" t="inlineStr">
        <is>
          <t>PROY1387</t>
        </is>
      </c>
      <c r="AJ65" s="3" t="inlineStr">
        <is>
          <t xml:space="preserve">UTP_Chimbote_Proyecto_estandarizacion_cafeterias </t>
        </is>
      </c>
      <c r="AK65" s="7" t="n">
        <v>46055</v>
      </c>
      <c r="AL65" s="3" t="inlineStr">
        <is>
          <t>ESEVERINO</t>
        </is>
      </c>
      <c r="AM65" s="3" t="inlineStr">
        <is>
          <t>SC-0000126650-2026 ( GENERICO) / NR OC-0000133495-2026 enviado/OC-0000142565-2026 TIENE NR/</t>
        </is>
      </c>
    </row>
    <row r="66">
      <c r="A66" s="3" t="n">
        <v>61</v>
      </c>
      <c r="B66" s="3" t="inlineStr">
        <is>
          <t>OPS_060</t>
        </is>
      </c>
      <c r="C66" s="3" t="inlineStr">
        <is>
          <t>OPS</t>
        </is>
      </c>
      <c r="D66" s="3" t="inlineStr">
        <is>
          <t>Eloy Pocohuanca</t>
        </is>
      </c>
      <c r="F66" s="3" t="inlineStr">
        <is>
          <t>epocohuanc@utp,edu,pe</t>
        </is>
      </c>
      <c r="G66" s="3" t="inlineStr">
        <is>
          <t>937 029 622</t>
        </is>
      </c>
      <c r="H66" s="3" t="inlineStr">
        <is>
          <t>Proyecto de implementación de áreas de esparcimiento III Etapa</t>
        </is>
      </c>
      <c r="Q66" s="3" t="inlineStr">
        <is>
          <t>SI</t>
        </is>
      </c>
      <c r="R66" s="3" t="inlineStr">
        <is>
          <t>UTP Piura</t>
        </is>
      </c>
      <c r="S66" s="3" t="n">
        <v>70170101</v>
      </c>
      <c r="T66" s="3" t="inlineStr">
        <is>
          <t>UTP AV,PANAMERICANA 234 -PIURA</t>
        </is>
      </c>
      <c r="U66" s="3" t="n">
        <v>37500</v>
      </c>
      <c r="V66" s="3" t="n">
        <v>37500</v>
      </c>
      <c r="W66" s="3" t="inlineStr">
        <is>
          <t>B</t>
        </is>
      </c>
      <c r="X66" s="4" t="n">
        <v>46174</v>
      </c>
      <c r="Y66" s="4" t="n">
        <v>46265</v>
      </c>
      <c r="Z66" s="4" t="n">
        <v>46203</v>
      </c>
      <c r="AA66" s="6" t="n"/>
      <c r="AB66" s="3" t="inlineStr">
        <is>
          <t>EJECUTADO</t>
        </is>
      </c>
      <c r="AD66" s="3" t="inlineStr">
        <is>
          <t>Proyectos Ops</t>
        </is>
      </c>
      <c r="AE66" s="3" t="inlineStr">
        <is>
          <t>SC-0000134265-2026 / SC-0000134267-2026 /SC-0000134318-2026 /SC-0000135915-2026</t>
        </is>
      </c>
      <c r="AF66" s="3" t="inlineStr">
        <is>
          <t>22/06 / 24/06</t>
        </is>
      </c>
      <c r="AG66" s="3" t="inlineStr">
        <is>
          <t>OC-0000136955-2026/OC-0000141560-2026</t>
        </is>
      </c>
      <c r="AH66" s="7" t="n">
        <v>46197</v>
      </c>
      <c r="AI66" s="3" t="inlineStr">
        <is>
          <t>PROY1388</t>
        </is>
      </c>
      <c r="AJ66" s="3" t="inlineStr">
        <is>
          <t>UTP_Piura_Implementacion_areas esparcimiento_III Etapa</t>
        </is>
      </c>
      <c r="AK66" s="7" t="n">
        <v>46055</v>
      </c>
      <c r="AL66" s="3" t="inlineStr">
        <is>
          <t>ESEVERINO</t>
        </is>
      </c>
      <c r="AM66" s="3" t="inlineStr">
        <is>
          <t>En proceso de diseño con Jossi/OC-0000136955-2026 TIENE NR/</t>
        </is>
      </c>
      <c r="AO66" s="3" t="inlineStr">
        <is>
          <t>REVISAR PRESUPUESTO</t>
        </is>
      </c>
    </row>
    <row r="67">
      <c r="A67" s="3" t="n">
        <v>62</v>
      </c>
      <c r="B67" s="3" t="inlineStr">
        <is>
          <t>OPS_061</t>
        </is>
      </c>
      <c r="C67" s="3" t="inlineStr">
        <is>
          <t>OPS</t>
        </is>
      </c>
      <c r="D67" s="3" t="inlineStr">
        <is>
          <t>Eloy Pocohuanca</t>
        </is>
      </c>
      <c r="F67" s="3" t="inlineStr">
        <is>
          <t>epocohuanc@utp,edu,pe</t>
        </is>
      </c>
      <c r="G67" s="3" t="inlineStr">
        <is>
          <t>937 029 622</t>
        </is>
      </c>
      <c r="H67" s="3" t="inlineStr">
        <is>
          <t>Proyecto de implementación de áreas de esparcimiento III Etapa</t>
        </is>
      </c>
      <c r="Q67" s="3" t="inlineStr">
        <is>
          <t>SI</t>
        </is>
      </c>
      <c r="R67" s="3" t="inlineStr">
        <is>
          <t>UTP Chiclayo</t>
        </is>
      </c>
      <c r="S67" s="3" t="n">
        <v>70120201</v>
      </c>
      <c r="T67" s="3" t="inlineStr">
        <is>
          <t>UTP AV, PROGRESO CON AV, EVITAMIENTO S/N  - CHICLAYO</t>
        </is>
      </c>
      <c r="U67" s="3" t="n">
        <v>37500</v>
      </c>
      <c r="V67" s="3" t="n">
        <v>37500</v>
      </c>
      <c r="W67" s="3" t="inlineStr">
        <is>
          <t>B</t>
        </is>
      </c>
      <c r="X67" s="4" t="n">
        <v>46174</v>
      </c>
      <c r="Y67" s="4" t="n">
        <v>46265</v>
      </c>
      <c r="Z67" s="6" t="n"/>
      <c r="AA67" s="6" t="n"/>
      <c r="AB67" s="3" t="inlineStr">
        <is>
          <t>EJECUTADO</t>
        </is>
      </c>
      <c r="AD67" s="3" t="inlineStr">
        <is>
          <t>Proyectos Ops</t>
        </is>
      </c>
      <c r="AE67" s="3" t="inlineStr">
        <is>
          <t>SC-0000133361-2026</t>
        </is>
      </c>
      <c r="AF67" s="7" t="n">
        <v>46192</v>
      </c>
      <c r="AI67" s="3" t="inlineStr">
        <is>
          <t>PROY1389</t>
        </is>
      </c>
      <c r="AJ67" s="3" t="inlineStr">
        <is>
          <t>UTP_Chiclayo_Implementacion_areas esparcimiento_III Etapa</t>
        </is>
      </c>
      <c r="AK67" s="7" t="n">
        <v>46055</v>
      </c>
      <c r="AL67" s="3" t="inlineStr">
        <is>
          <t>ESEVERINO</t>
        </is>
      </c>
      <c r="AM67" s="3" t="inlineStr">
        <is>
          <t>En proceso de diseño con Jossi</t>
        </is>
      </c>
    </row>
    <row r="68">
      <c r="A68" s="3" t="n">
        <v>63</v>
      </c>
      <c r="B68" s="3" t="inlineStr">
        <is>
          <t>OPS_062</t>
        </is>
      </c>
      <c r="C68" s="3" t="inlineStr">
        <is>
          <t>OPS</t>
        </is>
      </c>
      <c r="D68" s="3" t="inlineStr">
        <is>
          <t>Eloy Pocohuanca</t>
        </is>
      </c>
      <c r="F68" s="3" t="inlineStr">
        <is>
          <t>epocohuanc@utp,edu,pe</t>
        </is>
      </c>
      <c r="G68" s="3" t="inlineStr">
        <is>
          <t>937 029 622</t>
        </is>
      </c>
      <c r="H68" s="3" t="inlineStr">
        <is>
          <t>Proyecto de implementación de áreas de esparcimiento III Etapa</t>
        </is>
      </c>
      <c r="Q68" s="3" t="inlineStr">
        <is>
          <t>SI</t>
        </is>
      </c>
      <c r="R68" s="3" t="inlineStr">
        <is>
          <t>UTP Ica</t>
        </is>
      </c>
      <c r="S68" s="3" t="n">
        <v>70160101</v>
      </c>
      <c r="T68" s="3" t="inlineStr">
        <is>
          <t>UTP SUB EUB-5 SAN JOSE - ICA</t>
        </is>
      </c>
      <c r="U68" s="3" t="n">
        <v>37500</v>
      </c>
      <c r="V68" s="3" t="n">
        <v>8399.995199999999</v>
      </c>
      <c r="W68" s="3" t="inlineStr">
        <is>
          <t>B</t>
        </is>
      </c>
      <c r="X68" s="4" t="n">
        <v>46174</v>
      </c>
      <c r="Y68" s="4" t="n">
        <v>46265</v>
      </c>
      <c r="Z68" s="6" t="n"/>
      <c r="AA68" s="6" t="n"/>
      <c r="AB68" s="3" t="inlineStr">
        <is>
          <t>EJECUTADO</t>
        </is>
      </c>
      <c r="AD68" s="3" t="inlineStr">
        <is>
          <t>Proyectos Ops</t>
        </is>
      </c>
      <c r="AE68" s="3" t="inlineStr">
        <is>
          <t>SC-0000140219-2026/ SC-0000136124-2026/SC-0000140219-2026</t>
        </is>
      </c>
      <c r="AF68" s="3" t="inlineStr">
        <is>
          <t>12/08 04/08  12/09</t>
        </is>
      </c>
      <c r="AG68" s="3" t="inlineStr">
        <is>
          <t>OC-0000142538-2026</t>
        </is>
      </c>
      <c r="AH68" s="7" t="n">
        <v>46238</v>
      </c>
      <c r="AI68" s="3" t="inlineStr">
        <is>
          <t>PROY1390</t>
        </is>
      </c>
      <c r="AJ68" s="3" t="inlineStr">
        <is>
          <t>UTP_Ica_Implementacion_areas esparcimiento_III Etapa</t>
        </is>
      </c>
      <c r="AK68" s="7" t="n">
        <v>46055</v>
      </c>
      <c r="AL68" s="3" t="inlineStr">
        <is>
          <t>ESEVERINO</t>
        </is>
      </c>
      <c r="AM68" s="3" t="inlineStr">
        <is>
          <t>En proceso de diseño con Jossi/ LA SC-0000136124-2026 YA TIENE NR</t>
        </is>
      </c>
    </row>
    <row r="69">
      <c r="A69" s="3" t="n">
        <v>64</v>
      </c>
      <c r="B69" s="3" t="inlineStr">
        <is>
          <t>OPS_063</t>
        </is>
      </c>
      <c r="C69" s="3" t="inlineStr">
        <is>
          <t>OPS</t>
        </is>
      </c>
      <c r="D69" s="3" t="inlineStr">
        <is>
          <t>Eloy Pocohuanca</t>
        </is>
      </c>
      <c r="F69" s="3" t="inlineStr">
        <is>
          <t>epocohuanc@utp,edu,pe</t>
        </is>
      </c>
      <c r="G69" s="3" t="inlineStr">
        <is>
          <t>937 029 622</t>
        </is>
      </c>
      <c r="H69" s="3" t="inlineStr">
        <is>
          <t>Proyecto de implementación de áreas de esparcimiento III Etapa</t>
        </is>
      </c>
      <c r="Q69" s="3" t="inlineStr">
        <is>
          <t>SI</t>
        </is>
      </c>
      <c r="R69" s="3" t="inlineStr">
        <is>
          <t>UTP Trujillo</t>
        </is>
      </c>
      <c r="S69" s="3" t="n">
        <v>70180103</v>
      </c>
      <c r="T69" s="3" t="inlineStr">
        <is>
          <t>UTP NICOLAS PIEROLA - TRUJILLO</t>
        </is>
      </c>
      <c r="U69" s="3" t="n">
        <v>37500</v>
      </c>
      <c r="V69" s="3" t="n">
        <v>37500</v>
      </c>
      <c r="W69" s="3" t="inlineStr">
        <is>
          <t>B</t>
        </is>
      </c>
      <c r="X69" s="4" t="n">
        <v>46174</v>
      </c>
      <c r="Y69" s="4" t="n">
        <v>46265</v>
      </c>
      <c r="Z69" s="6" t="n"/>
      <c r="AA69" s="6" t="n"/>
      <c r="AB69" s="3" t="inlineStr">
        <is>
          <t>EJECUTADO</t>
        </is>
      </c>
      <c r="AD69" s="3" t="inlineStr">
        <is>
          <t>Proyectos Ops</t>
        </is>
      </c>
      <c r="AE69" s="3" t="inlineStr">
        <is>
          <t>SC-0000136125-2026</t>
        </is>
      </c>
      <c r="AF69" s="7" t="n">
        <v>46209</v>
      </c>
      <c r="AG69" s="3" t="inlineStr">
        <is>
          <t>OC-0000141554-2026 / OC-0000141566-2026</t>
        </is>
      </c>
      <c r="AH69" s="7" t="n">
        <v>46228</v>
      </c>
      <c r="AI69" s="3" t="inlineStr">
        <is>
          <t>PROY1391</t>
        </is>
      </c>
      <c r="AJ69" s="3" t="inlineStr">
        <is>
          <t>UTP_Trujillo_Implementacion_areas esparcimiento_III Etapa</t>
        </is>
      </c>
      <c r="AK69" s="7" t="n">
        <v>46055</v>
      </c>
      <c r="AL69" s="3" t="inlineStr">
        <is>
          <t>ESEVERINO</t>
        </is>
      </c>
      <c r="AM69" s="3" t="inlineStr">
        <is>
          <t>En proceso de diseño con Jossi</t>
        </is>
      </c>
    </row>
    <row r="70">
      <c r="A70" s="3" t="n">
        <v>65</v>
      </c>
      <c r="B70" s="3" t="inlineStr">
        <is>
          <t>OPS_064</t>
        </is>
      </c>
      <c r="C70" s="3" t="inlineStr">
        <is>
          <t>OPS</t>
        </is>
      </c>
      <c r="D70" s="3" t="inlineStr">
        <is>
          <t xml:space="preserve">VICENTE CAYETANO RODRIGUEZ PASTOR </t>
        </is>
      </c>
      <c r="F70" s="3" t="inlineStr">
        <is>
          <t>eillanes@utp,edu,pe</t>
        </is>
      </c>
      <c r="G70" s="3" t="inlineStr">
        <is>
          <t>994 690 404</t>
        </is>
      </c>
      <c r="H70" s="3" t="inlineStr">
        <is>
          <t>Proyecto de implementación de filtro de armónico</t>
        </is>
      </c>
      <c r="J70" s="3" t="inlineStr">
        <is>
          <t>Parra 2 - Fachada,pdf</t>
        </is>
      </c>
      <c r="K70" s="3" t="inlineStr">
        <is>
          <t>OK</t>
        </is>
      </c>
      <c r="L70" s="3">
        <f>SUM(M70:O70)</f>
        <v/>
      </c>
      <c r="M70" s="3" t="n">
        <v>2</v>
      </c>
      <c r="N70" s="3" t="n">
        <v>5</v>
      </c>
      <c r="O70" s="3" t="n">
        <v>3</v>
      </c>
      <c r="Q70" s="3" t="inlineStr">
        <is>
          <t>SI</t>
        </is>
      </c>
      <c r="R70" s="3" t="inlineStr">
        <is>
          <t>UTP Chiclayo</t>
        </is>
      </c>
      <c r="S70" s="3" t="n">
        <v>70120201</v>
      </c>
      <c r="T70" s="3" t="inlineStr">
        <is>
          <t>UTP AV, PROGRESO CON AV, EVITAMIENTO S/N  - CHICLAYO</t>
        </is>
      </c>
      <c r="U70" s="3" t="n">
        <v>87000</v>
      </c>
      <c r="W70" s="3" t="inlineStr">
        <is>
          <t>A</t>
        </is>
      </c>
      <c r="X70" s="6" t="n"/>
      <c r="Y70" s="6" t="n"/>
      <c r="Z70" s="6" t="n"/>
      <c r="AA70" s="6" t="n"/>
      <c r="AB70" s="3" t="inlineStr">
        <is>
          <t>CANCELADO</t>
        </is>
      </c>
      <c r="AD70" s="3" t="inlineStr">
        <is>
          <t>Mantenimiento</t>
        </is>
      </c>
      <c r="AI70" s="3" t="inlineStr">
        <is>
          <t>PROY1392</t>
        </is>
      </c>
      <c r="AJ70" s="3" t="inlineStr">
        <is>
          <t>UTP_Chiclayo_Implementacion_filtro armonico</t>
        </is>
      </c>
      <c r="AK70" s="7" t="n">
        <v>46055</v>
      </c>
      <c r="AL70" s="3" t="inlineStr">
        <is>
          <t>ESEVERINO</t>
        </is>
      </c>
      <c r="AM70" s="3" t="inlineStr">
        <is>
          <t>NO SE CANCELA PASA AL PRESUPUESTO DE LUMINARIAS 2025</t>
        </is>
      </c>
      <c r="AO70" s="3" t="inlineStr">
        <is>
          <t>SE EJECIUTA PTO 2025</t>
        </is>
      </c>
      <c r="AP70" s="3" t="inlineStr">
        <is>
          <t>ADICIONAL</t>
        </is>
      </c>
    </row>
    <row r="71">
      <c r="A71" s="3" t="n">
        <v>66</v>
      </c>
      <c r="B71" s="3" t="inlineStr">
        <is>
          <t>OPS_065</t>
        </is>
      </c>
      <c r="C71" s="3" t="inlineStr">
        <is>
          <t>OPS</t>
        </is>
      </c>
      <c r="D71" s="3" t="inlineStr">
        <is>
          <t xml:space="preserve">VICENTE CAYETANO RODRIGUEZ PASTOR </t>
        </is>
      </c>
      <c r="F71" s="3" t="inlineStr">
        <is>
          <t>eillanes@utp,edu,pe</t>
        </is>
      </c>
      <c r="G71" s="3" t="inlineStr">
        <is>
          <t>994 690 404</t>
        </is>
      </c>
      <c r="H71" s="3" t="inlineStr">
        <is>
          <t>Proyecto Implementacion de filtro de armonico Ica</t>
        </is>
      </c>
      <c r="Q71" s="3" t="inlineStr">
        <is>
          <t>SI</t>
        </is>
      </c>
      <c r="R71" s="3" t="inlineStr">
        <is>
          <t>UTP Ica</t>
        </is>
      </c>
      <c r="S71" s="3" t="n">
        <v>70160101</v>
      </c>
      <c r="T71" s="3" t="inlineStr">
        <is>
          <t>UTP SUB EUB-5 SAN JOSE - ICA</t>
        </is>
      </c>
      <c r="U71" s="3" t="n">
        <v>87000</v>
      </c>
      <c r="W71" s="3" t="inlineStr">
        <is>
          <t>B</t>
        </is>
      </c>
      <c r="X71" s="6" t="n"/>
      <c r="Y71" s="6" t="n"/>
      <c r="Z71" s="6" t="n"/>
      <c r="AA71" s="6" t="n"/>
      <c r="AB71" s="3" t="inlineStr">
        <is>
          <t>CANCELADO</t>
        </is>
      </c>
      <c r="AD71" s="3" t="inlineStr">
        <is>
          <t>Mantenimiento</t>
        </is>
      </c>
      <c r="AI71" s="3" t="inlineStr">
        <is>
          <t>PROY1393</t>
        </is>
      </c>
      <c r="AJ71" s="3" t="inlineStr">
        <is>
          <t>UTP_Ica_Implementacion_filtro armonico</t>
        </is>
      </c>
      <c r="AK71" s="7" t="n">
        <v>46055</v>
      </c>
      <c r="AL71" s="3" t="inlineStr">
        <is>
          <t>ESEVERINO</t>
        </is>
      </c>
      <c r="AM71" s="3" t="inlineStr">
        <is>
          <t>NO SE CANCELA PASA AL PRESUPUESTO DE LUMINARIAS 2025</t>
        </is>
      </c>
      <c r="AO71" s="3" t="inlineStr">
        <is>
          <t>SE EJECIUTA PTO 2025</t>
        </is>
      </c>
      <c r="AP71" s="3" t="inlineStr">
        <is>
          <t>ADICIONAL</t>
        </is>
      </c>
    </row>
    <row r="72">
      <c r="A72" s="3" t="n">
        <v>67</v>
      </c>
      <c r="B72" s="3" t="inlineStr">
        <is>
          <t>OPS_066</t>
        </is>
      </c>
      <c r="C72" s="3" t="inlineStr">
        <is>
          <t>OPS</t>
        </is>
      </c>
      <c r="D72" s="3" t="inlineStr">
        <is>
          <t xml:space="preserve">VICENTE CAYETANO RODRIGUEZ PASTOR </t>
        </is>
      </c>
      <c r="F72" s="3" t="inlineStr">
        <is>
          <t>eillanes@utp,edu,pe</t>
        </is>
      </c>
      <c r="G72" s="3" t="inlineStr">
        <is>
          <t>994 690 404</t>
        </is>
      </c>
      <c r="H72" s="3" t="inlineStr">
        <is>
          <t>Proyecto Implementacion de filtro de armonico Tacna y Arica</t>
        </is>
      </c>
      <c r="Q72" s="3" t="inlineStr">
        <is>
          <t>SI</t>
        </is>
      </c>
      <c r="R72" s="3" t="inlineStr">
        <is>
          <t>UTP Arequipa</t>
        </is>
      </c>
      <c r="S72" s="3" t="n">
        <v>70110101</v>
      </c>
      <c r="T72" s="3" t="inlineStr">
        <is>
          <t>UTP TACNA-ARICA 158-160-162 - AREQUIPA</t>
        </is>
      </c>
      <c r="U72" s="3" t="n">
        <v>87000</v>
      </c>
      <c r="W72" s="3" t="inlineStr">
        <is>
          <t>B</t>
        </is>
      </c>
      <c r="X72" s="6" t="n"/>
      <c r="Y72" s="6" t="n"/>
      <c r="Z72" s="6" t="n"/>
      <c r="AA72" s="6" t="n"/>
      <c r="AB72" s="3" t="inlineStr">
        <is>
          <t>CANCELADO</t>
        </is>
      </c>
      <c r="AD72" s="3" t="inlineStr">
        <is>
          <t>Mantenimiento</t>
        </is>
      </c>
      <c r="AI72" s="3" t="inlineStr">
        <is>
          <t>PROY1394</t>
        </is>
      </c>
      <c r="AJ72" s="3" t="inlineStr">
        <is>
          <t>UTP_Parra 2_Implementacion_filtro armonico</t>
        </is>
      </c>
      <c r="AK72" s="7" t="n">
        <v>46055</v>
      </c>
      <c r="AL72" s="3" t="inlineStr">
        <is>
          <t>ESEVERINO</t>
        </is>
      </c>
      <c r="AM72" s="3" t="inlineStr">
        <is>
          <t>NO SE CANCELA PASA AL PRESUPUESTO DE LUMINARIAS 2025</t>
        </is>
      </c>
      <c r="AO72" s="3" t="inlineStr">
        <is>
          <t>SE EJECIUTA PTO 2025</t>
        </is>
      </c>
      <c r="AP72" s="3" t="inlineStr">
        <is>
          <t>ADICIONAL</t>
        </is>
      </c>
    </row>
    <row r="73">
      <c r="A73" s="3" t="n">
        <v>68</v>
      </c>
      <c r="B73" s="3" t="inlineStr">
        <is>
          <t>OPS_067</t>
        </is>
      </c>
      <c r="C73" s="3" t="inlineStr">
        <is>
          <t>OPS</t>
        </is>
      </c>
      <c r="D73" s="3" t="inlineStr">
        <is>
          <t xml:space="preserve">Eloy /Gustavo </t>
        </is>
      </c>
      <c r="H73" s="3" t="inlineStr">
        <is>
          <t>Reestructuracion de espacios en cochera para motos y bicicletas</t>
        </is>
      </c>
      <c r="I73" s="3" t="inlineStr">
        <is>
          <t xml:space="preserve">Actualmente tenemos un ambiente desordenado (motos carros y bicicletas estacionan en todos lados) esto genera problemas de rayaduras saturación de espacios bloqueo de espacios de automóviles por bicicletas y motos), </t>
        </is>
      </c>
      <c r="J73" s="3" t="inlineStr">
        <is>
          <t>https://www,dropbox,com/scl/fo/oeaqdfv6av0j9jb28hmao/ALECckvrfXoqZnYvtw5pvYQ?rlkey=2vmcdlnqb4hnr1yli9uuq9jy4&amp;st=juylf8sd&amp;dl=0</t>
        </is>
      </c>
      <c r="K73" s="3" t="inlineStr">
        <is>
          <t>OK</t>
        </is>
      </c>
      <c r="L73" s="3">
        <f>SUM(M73:O73)</f>
        <v/>
      </c>
      <c r="M73" s="3" t="n">
        <v>4</v>
      </c>
      <c r="N73" s="3" t="n">
        <v>2</v>
      </c>
      <c r="O73" s="3" t="n">
        <v>4</v>
      </c>
      <c r="Q73" s="3" t="inlineStr">
        <is>
          <t>SI</t>
        </is>
      </c>
      <c r="R73" s="3" t="inlineStr">
        <is>
          <t>UTP Ica</t>
        </is>
      </c>
      <c r="S73" s="3" t="n">
        <v>70160101</v>
      </c>
      <c r="T73" s="3" t="inlineStr">
        <is>
          <t>UTP SUB EUB-5 SAN JOSE - ICA</t>
        </is>
      </c>
      <c r="U73" s="3" t="n">
        <v>5000</v>
      </c>
      <c r="W73" s="3" t="inlineStr">
        <is>
          <t>A</t>
        </is>
      </c>
      <c r="X73" s="4" t="n">
        <v>46174</v>
      </c>
      <c r="Y73" s="4" t="n">
        <v>46310</v>
      </c>
      <c r="Z73" s="6" t="n"/>
      <c r="AA73" s="6" t="n"/>
      <c r="AB73" s="3" t="inlineStr">
        <is>
          <t>EN PROCESO</t>
        </is>
      </c>
      <c r="AD73" s="3" t="inlineStr">
        <is>
          <t>Proyectos Ops / Mantenimiento</t>
        </is>
      </c>
      <c r="AE73" s="3" t="inlineStr">
        <is>
          <t xml:space="preserve"> SC-0000120475-2026</t>
        </is>
      </c>
      <c r="AF73" s="7" t="n">
        <v>46094</v>
      </c>
      <c r="AG73" s="3" t="inlineStr">
        <is>
          <t>SC DEVUELTA</t>
        </is>
      </c>
      <c r="AI73" s="3" t="inlineStr">
        <is>
          <t>PROY1395</t>
        </is>
      </c>
      <c r="AJ73" s="3" t="inlineStr">
        <is>
          <t>UTP_Ica_Reestructuracion _espacios _cochera_motos y bicicletas</t>
        </is>
      </c>
      <c r="AK73" s="7" t="n">
        <v>46055</v>
      </c>
      <c r="AL73" s="3" t="inlineStr">
        <is>
          <t>ESEVERINO</t>
        </is>
      </c>
      <c r="AM73" s="3" t="inlineStr">
        <is>
          <t xml:space="preserve">SC DEVUELTA se cambiará alcance </t>
        </is>
      </c>
    </row>
    <row r="74">
      <c r="A74" s="3" t="n">
        <v>69</v>
      </c>
      <c r="B74" s="3" t="inlineStr">
        <is>
          <t>OPS_068</t>
        </is>
      </c>
      <c r="C74" s="3" t="inlineStr">
        <is>
          <t>OPS</t>
        </is>
      </c>
      <c r="D74" s="3" t="inlineStr">
        <is>
          <t>IRENE JAEN</t>
        </is>
      </c>
      <c r="H74" s="3" t="inlineStr">
        <is>
          <t>Rehabilitación de las veredas del perímetro principal del campus universitario</t>
        </is>
      </c>
      <c r="I74" s="3" t="inlineStr">
        <is>
          <t>La intervención mejorará la seguridad peatonal y la accesibilidad reduciendo riesgos de accidentes y mejorando la imagen institucional</t>
        </is>
      </c>
      <c r="J74" s="3" t="inlineStr">
        <is>
          <t>https://utpedupe,sharepoint,com/:f:/s/OperacionesCIX/EqUcK-qj9o9BhUnp4BxLFEkB4WPvvSS9VeygGf_9Z8t1Fw?e=92zjI3</t>
        </is>
      </c>
      <c r="K74" s="3" t="inlineStr">
        <is>
          <t>OK</t>
        </is>
      </c>
      <c r="L74" s="3">
        <f>SUM(M74:O74)</f>
        <v/>
      </c>
      <c r="M74" s="3" t="n">
        <v>4</v>
      </c>
      <c r="N74" s="3" t="n">
        <v>4</v>
      </c>
      <c r="O74" s="3" t="n">
        <v>3</v>
      </c>
      <c r="P74" s="3" t="inlineStr">
        <is>
          <t>No podemos intervenir en la vía publica sería una iniciativa a trabajar con la municipalidd distrital/provincial, Presupuesto insuficiente</t>
        </is>
      </c>
      <c r="Q74" s="3" t="inlineStr">
        <is>
          <t>SI</t>
        </is>
      </c>
      <c r="R74" s="3" t="inlineStr">
        <is>
          <t>UTP Chiclayo</t>
        </is>
      </c>
      <c r="S74" s="3" t="n">
        <v>70120201</v>
      </c>
      <c r="T74" s="3" t="inlineStr">
        <is>
          <t>UTP AV, PROGRESO CON AV, EVITAMIENTO S/N  - CHICLAYO</t>
        </is>
      </c>
      <c r="U74" s="3" t="n">
        <v>16000</v>
      </c>
      <c r="W74" s="3" t="inlineStr">
        <is>
          <t>A</t>
        </is>
      </c>
      <c r="X74" s="4" t="n">
        <v>46235</v>
      </c>
      <c r="Y74" s="4" t="n">
        <v>46356</v>
      </c>
      <c r="Z74" s="6" t="n"/>
      <c r="AA74" s="6" t="n"/>
      <c r="AB74" s="3" t="inlineStr">
        <is>
          <t>PENDIENTE</t>
        </is>
      </c>
      <c r="AD74" s="3" t="inlineStr">
        <is>
          <t>Infraestructura</t>
        </is>
      </c>
    </row>
    <row r="75">
      <c r="A75" s="3" t="n">
        <v>70</v>
      </c>
      <c r="B75" s="3" t="inlineStr">
        <is>
          <t>OPS_069</t>
        </is>
      </c>
      <c r="C75" s="3" t="inlineStr">
        <is>
          <t>OPS</t>
        </is>
      </c>
      <c r="D75" s="3" t="inlineStr">
        <is>
          <t>Randall Castillo</t>
        </is>
      </c>
      <c r="H75" s="3" t="inlineStr">
        <is>
          <t>Remodelación de baños  de los pisos 2,3 4 y 5 de Sede Central (PISO 6  CLAUSURADO Y PISO 1 YA CUENTA CON ESTANDAR)</t>
        </is>
      </c>
      <c r="I75" s="3" t="inlineStr">
        <is>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is>
      </c>
      <c r="J75" s="3" t="inlineStr">
        <is>
          <t>https://drive,google,com/drive/folders/1kgZDIy-N2hSe5LTIEDs3SxsFwzpNrirb</t>
        </is>
      </c>
      <c r="K75" s="3" t="inlineStr">
        <is>
          <t>OK</t>
        </is>
      </c>
      <c r="L75" s="3">
        <f>SUM(M75:O75)</f>
        <v/>
      </c>
      <c r="M75" s="3" t="n">
        <v>5</v>
      </c>
      <c r="N75" s="3" t="n">
        <v>5</v>
      </c>
      <c r="O75" s="3" t="n">
        <v>3</v>
      </c>
      <c r="P75" s="3" t="inlineStr">
        <is>
          <t>Con una ejecución de S/, 570 K (Ver PROY 1053) solo se pudo remodelar dos pisos de baños si el alcance es remodelar todos los pisos se debe pedir aprobación por lo menos de S/, 2MM</t>
        </is>
      </c>
      <c r="Q75" s="3" t="inlineStr">
        <is>
          <t>SI</t>
        </is>
      </c>
      <c r="R75" s="3" t="inlineStr">
        <is>
          <t>UTP Lima Centro</t>
        </is>
      </c>
      <c r="S75" s="3" t="n">
        <v>10110201</v>
      </c>
      <c r="T75" s="3" t="inlineStr">
        <is>
          <t>UTP PETITTHOURS 116 -  LIMA</t>
        </is>
      </c>
      <c r="U75" s="3" t="n">
        <v>500000</v>
      </c>
      <c r="W75" s="3" t="inlineStr">
        <is>
          <t>A</t>
        </is>
      </c>
      <c r="X75" s="4" t="n">
        <v>46235</v>
      </c>
      <c r="Y75" s="4" t="n">
        <v>46356</v>
      </c>
      <c r="Z75" s="6" t="n"/>
      <c r="AA75" s="6" t="n"/>
      <c r="AB75" s="3" t="inlineStr">
        <is>
          <t>EN PROCESO</t>
        </is>
      </c>
      <c r="AD75" s="3" t="inlineStr">
        <is>
          <t>Infraestructura</t>
        </is>
      </c>
      <c r="AO75" s="3" t="inlineStr">
        <is>
          <t>cancelado</t>
        </is>
      </c>
      <c r="AP75" s="3" t="inlineStr">
        <is>
          <t xml:space="preserve">REVISAR </t>
        </is>
      </c>
    </row>
    <row r="76">
      <c r="A76" s="3" t="n">
        <v>71</v>
      </c>
      <c r="B76" s="3" t="inlineStr">
        <is>
          <t>OPS_070</t>
        </is>
      </c>
      <c r="C76" s="3" t="inlineStr">
        <is>
          <t>OPS</t>
        </is>
      </c>
      <c r="D76" s="3" t="inlineStr">
        <is>
          <t>Randall Castillo</t>
        </is>
      </c>
      <c r="H76" s="3" t="inlineStr">
        <is>
          <t>Remodelación de baños  de todos los pisos de la sede Pacífico</t>
        </is>
      </c>
      <c r="I76" s="3" t="inlineStr">
        <is>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is>
      </c>
      <c r="J76" s="3" t="inlineStr">
        <is>
          <t>https://utpedupe-my,sharepoint,com/:f:/g/personal/gricaza_utp_edu_pe/EpafVnJ5BdxEoPIvXq4Pu34BBViXn95F5XlpW2wVwugdBQ?e=v7ftsH</t>
        </is>
      </c>
      <c r="K76" s="3" t="inlineStr">
        <is>
          <t>OK</t>
        </is>
      </c>
      <c r="L76" s="3">
        <f>SUM(M76:O76)</f>
        <v/>
      </c>
      <c r="M76" s="3" t="n">
        <v>5</v>
      </c>
      <c r="N76" s="3" t="n">
        <v>5</v>
      </c>
      <c r="O76" s="3" t="n">
        <v>3</v>
      </c>
      <c r="P76" s="3" t="inlineStr">
        <is>
          <t>Con una ejecución de S/, 570 K solo se pudo remodelar dos pisos de baños si el alcance es remodelar todos los pisos se debe pedir aprobación por lo menos de S/, 1,8 MM</t>
        </is>
      </c>
      <c r="Q76" s="3" t="inlineStr">
        <is>
          <t>SI</t>
        </is>
      </c>
      <c r="R76" s="3" t="inlineStr">
        <is>
          <t>UTP Lima Centro</t>
        </is>
      </c>
      <c r="S76" s="3" t="n">
        <v>10110102</v>
      </c>
      <c r="T76" s="3" t="inlineStr">
        <is>
          <t>UTP AREQUIPA 660- 670 - LIMA</t>
        </is>
      </c>
      <c r="U76" s="3" t="n">
        <v>300000</v>
      </c>
      <c r="W76" s="3" t="inlineStr">
        <is>
          <t>A</t>
        </is>
      </c>
      <c r="X76" s="4" t="n">
        <v>46235</v>
      </c>
      <c r="Y76" s="4" t="n">
        <v>46304</v>
      </c>
      <c r="Z76" s="6" t="n"/>
      <c r="AA76" s="6" t="n"/>
      <c r="AB76" s="3" t="inlineStr">
        <is>
          <t>PENDIENTE</t>
        </is>
      </c>
      <c r="AD76" s="3" t="inlineStr">
        <is>
          <t>Infraestructura</t>
        </is>
      </c>
      <c r="AM76" s="3" t="inlineStr">
        <is>
          <t>Pendiente en consulta</t>
        </is>
      </c>
    </row>
    <row r="77">
      <c r="A77" s="3" t="n">
        <v>72</v>
      </c>
      <c r="B77" s="3" t="inlineStr">
        <is>
          <t>OPS_071</t>
        </is>
      </c>
      <c r="C77" s="3" t="inlineStr">
        <is>
          <t>OPS</t>
        </is>
      </c>
      <c r="D77" s="3" t="inlineStr">
        <is>
          <t>Eloy / Raul</t>
        </is>
      </c>
      <c r="H77" s="3" t="inlineStr">
        <is>
          <t>Remodelacion de oficina de soporte TI</t>
        </is>
      </c>
      <c r="I77" s="3" t="inlineStr">
        <is>
          <t>Remodelacion ambiente (retiro pared dry wall y resanar)</t>
        </is>
      </c>
      <c r="J77" s="3" t="inlineStr">
        <is>
          <t>https://utpedupe,sharepoint,com/:f:/s/OperacionesCIX/Essg4D4TQX1LmAJFzksgG6kBnlhTXLK39MiNGY3rPfq0hA?e=FBnYNq</t>
        </is>
      </c>
      <c r="K77" s="3" t="inlineStr">
        <is>
          <t>OK</t>
        </is>
      </c>
      <c r="L77" s="3">
        <f>SUM(M77:O77)</f>
        <v/>
      </c>
      <c r="M77" s="3" t="n">
        <v>1</v>
      </c>
      <c r="N77" s="3" t="n">
        <v>3</v>
      </c>
      <c r="O77" s="3" t="n">
        <v>5</v>
      </c>
      <c r="Q77" s="3" t="inlineStr">
        <is>
          <t>SI</t>
        </is>
      </c>
      <c r="R77" s="3" t="inlineStr">
        <is>
          <t>UTP Chiclayo</t>
        </is>
      </c>
      <c r="S77" s="3" t="n">
        <v>70120201</v>
      </c>
      <c r="T77" s="3" t="inlineStr">
        <is>
          <t>UTP AV, PROGRESO CON AV, EVITAMIENTO S/N  - CHICLAYO</t>
        </is>
      </c>
      <c r="U77" s="3" t="n">
        <v>7500</v>
      </c>
      <c r="V77" s="3" t="n">
        <v>3156.24</v>
      </c>
      <c r="W77" s="3" t="inlineStr">
        <is>
          <t>B</t>
        </is>
      </c>
      <c r="X77" s="4" t="n">
        <v>46082</v>
      </c>
      <c r="Y77" s="4" t="n">
        <v>46082</v>
      </c>
      <c r="Z77" s="4" t="n">
        <v>46082</v>
      </c>
      <c r="AA77" s="4" t="n">
        <v>46111</v>
      </c>
      <c r="AB77" s="3" t="inlineStr">
        <is>
          <t>EJECUTADO</t>
        </is>
      </c>
      <c r="AC77" s="3" t="inlineStr">
        <is>
          <t>EJECUTADO</t>
        </is>
      </c>
      <c r="AD77" s="3" t="inlineStr">
        <is>
          <t>Proyectos Ops / Mantenimiento</t>
        </is>
      </c>
      <c r="AE77" s="3" t="inlineStr">
        <is>
          <t>SC-0000116652-2026</t>
        </is>
      </c>
      <c r="AF77" s="7" t="n">
        <v>46062</v>
      </c>
      <c r="AG77" s="3" t="inlineStr">
        <is>
          <t>OC-0000121741-2026</t>
        </is>
      </c>
      <c r="AH77" s="7" t="n">
        <v>46076</v>
      </c>
      <c r="AI77" s="3" t="inlineStr">
        <is>
          <t>PROY1396</t>
        </is>
      </c>
      <c r="AJ77" s="3" t="inlineStr">
        <is>
          <t>UTP_Chiclayo_Remodelacion_oficina_soporte TI</t>
        </is>
      </c>
      <c r="AK77" s="7" t="n">
        <v>46055</v>
      </c>
      <c r="AL77" s="3" t="inlineStr">
        <is>
          <t>ESEVERINO</t>
        </is>
      </c>
    </row>
    <row r="78">
      <c r="A78" s="3" t="n">
        <v>73</v>
      </c>
      <c r="B78" s="3" t="inlineStr">
        <is>
          <t>OPS_072</t>
        </is>
      </c>
      <c r="C78" s="3" t="inlineStr">
        <is>
          <t>OPS</t>
        </is>
      </c>
      <c r="D78" s="3" t="inlineStr">
        <is>
          <t>Eloy / Raul</t>
        </is>
      </c>
      <c r="H78" s="3" t="inlineStr">
        <is>
          <t>Remodelacion de punto de acopio</t>
        </is>
      </c>
      <c r="I78" s="3" t="inlineStr">
        <is>
          <t>La remodelación del punto de acopio mejorará la organización seguridad y eficiencia en el manejo y almacenamiento de materiales peligrosos</t>
        </is>
      </c>
      <c r="J78" s="3" t="inlineStr">
        <is>
          <t>https://utpedupe,sharepoint,com/:f:/s/OperacionesCIX/Elk3R8GCqBFDmAjzU0eGqSYBXXeQCM-ydsZIN07e3BqYuQ?e=j8T29G</t>
        </is>
      </c>
      <c r="K78" s="3" t="inlineStr">
        <is>
          <t>OK</t>
        </is>
      </c>
      <c r="L78" s="3">
        <f>SUM(M78:O78)</f>
        <v/>
      </c>
      <c r="M78" s="3" t="n">
        <v>2</v>
      </c>
      <c r="N78" s="3" t="n">
        <v>3</v>
      </c>
      <c r="O78" s="3" t="n">
        <v>4</v>
      </c>
      <c r="Q78" s="3" t="inlineStr">
        <is>
          <t>SI</t>
        </is>
      </c>
      <c r="R78" s="3" t="inlineStr">
        <is>
          <t>UTP Chiclayo</t>
        </is>
      </c>
      <c r="S78" s="3" t="n">
        <v>70120201</v>
      </c>
      <c r="T78" s="3" t="inlineStr">
        <is>
          <t>UTP AV, PROGRESO CON AV, EVITAMIENTO S/N  - CHICLAYO</t>
        </is>
      </c>
      <c r="U78" s="3" t="n">
        <v>7500</v>
      </c>
      <c r="V78" s="3" t="n">
        <v>16040.18</v>
      </c>
      <c r="W78" s="3" t="inlineStr">
        <is>
          <t>B</t>
        </is>
      </c>
      <c r="X78" s="4" t="n">
        <v>46082</v>
      </c>
      <c r="Y78" s="4" t="n">
        <v>46082</v>
      </c>
      <c r="Z78" s="4" t="n">
        <v>46082</v>
      </c>
      <c r="AA78" s="4" t="n">
        <v>46111</v>
      </c>
      <c r="AB78" s="3" t="inlineStr">
        <is>
          <t>EJECUTADO</t>
        </is>
      </c>
      <c r="AC78" s="3" t="inlineStr">
        <is>
          <t>EJECUTADO</t>
        </is>
      </c>
      <c r="AD78" s="3" t="inlineStr">
        <is>
          <t>Proyectos Ops / Mantenimiento</t>
        </is>
      </c>
      <c r="AE78" s="3" t="inlineStr">
        <is>
          <t>SC-0000116654-2026</t>
        </is>
      </c>
      <c r="AF78" s="7" t="n">
        <v>46062</v>
      </c>
      <c r="AG78" s="3" t="inlineStr">
        <is>
          <t>OC-0000122239-2026</t>
        </is>
      </c>
      <c r="AH78" s="7" t="n">
        <v>46080</v>
      </c>
      <c r="AI78" s="3" t="inlineStr">
        <is>
          <t>PROY1397</t>
        </is>
      </c>
      <c r="AJ78" s="3" t="inlineStr">
        <is>
          <t>UTP_Chiclayo_Remodelacion_punto de acopio</t>
        </is>
      </c>
      <c r="AK78" s="7" t="n">
        <v>46055</v>
      </c>
      <c r="AL78" s="3" t="inlineStr">
        <is>
          <t>ESEVERINO</t>
        </is>
      </c>
    </row>
    <row r="79">
      <c r="A79" s="3" t="n">
        <v>74</v>
      </c>
      <c r="B79" s="3" t="inlineStr">
        <is>
          <t>OPS_073</t>
        </is>
      </c>
      <c r="C79" s="3" t="inlineStr">
        <is>
          <t>OPS</t>
        </is>
      </c>
      <c r="D79" s="3" t="inlineStr">
        <is>
          <t>Katherine Polo</t>
        </is>
      </c>
      <c r="H79" s="3" t="inlineStr">
        <is>
          <t>REMODELACION DEL FONDO DE ESCENARIO EN AUDITORIOS ( TTA SC Pacífico)</t>
        </is>
      </c>
      <c r="J79" s="3" t="inlineStr">
        <is>
          <t>REMODELACION ESCENARIOS AUDITORIOS 2026</t>
        </is>
      </c>
      <c r="Q79" s="3" t="inlineStr">
        <is>
          <t>SI</t>
        </is>
      </c>
      <c r="R79" s="3" t="inlineStr">
        <is>
          <t>UTP Lima Centro</t>
        </is>
      </c>
      <c r="S79" s="3" t="n">
        <v>10110205</v>
      </c>
      <c r="T79" s="3" t="inlineStr">
        <is>
          <t>UTP AV, AREQUIPA 265-279 - LIMA</t>
        </is>
      </c>
      <c r="U79" s="3" t="n">
        <v>50000</v>
      </c>
      <c r="V79" s="3" t="n">
        <v>42050.95</v>
      </c>
      <c r="W79" s="3" t="inlineStr">
        <is>
          <t>A</t>
        </is>
      </c>
      <c r="X79" s="4" t="n">
        <v>46235</v>
      </c>
      <c r="Y79" s="4" t="n">
        <v>46234</v>
      </c>
      <c r="Z79" s="6" t="n"/>
      <c r="AA79" s="6" t="n"/>
      <c r="AB79" s="3" t="inlineStr">
        <is>
          <t>EJECUTADO</t>
        </is>
      </c>
      <c r="AD79" s="3" t="inlineStr">
        <is>
          <t>Infraestructura</t>
        </is>
      </c>
      <c r="AI79" s="3" t="inlineStr">
        <is>
          <t>PROY1432</t>
        </is>
      </c>
    </row>
    <row r="80">
      <c r="A80" s="3" t="n">
        <v>75</v>
      </c>
      <c r="B80" s="3" t="inlineStr">
        <is>
          <t>OPS_074</t>
        </is>
      </c>
      <c r="C80" s="3" t="inlineStr">
        <is>
          <t>OPS</t>
        </is>
      </c>
      <c r="D80" s="3" t="inlineStr">
        <is>
          <t>Katherine Polo</t>
        </is>
      </c>
      <c r="H80" s="3" t="inlineStr">
        <is>
          <t>REMODELACION DEL FONDO DE ESCENARIO EN AUDITORIOS ( TTA SC Pacífico)</t>
        </is>
      </c>
      <c r="J80" s="3" t="inlineStr">
        <is>
          <t>REMODELACION ESCENARIOS AUDITORIOS 2026</t>
        </is>
      </c>
      <c r="Q80" s="3" t="inlineStr">
        <is>
          <t>SI</t>
        </is>
      </c>
      <c r="R80" s="3" t="inlineStr">
        <is>
          <t>UTP Lima Centro</t>
        </is>
      </c>
      <c r="S80" s="3" t="n">
        <v>10110201</v>
      </c>
      <c r="T80" s="3" t="inlineStr">
        <is>
          <t>UTP PETITTHOURS 116 -  LIMA</t>
        </is>
      </c>
      <c r="U80" s="3" t="n">
        <v>50000</v>
      </c>
      <c r="V80" s="3" t="n">
        <v>47954.78</v>
      </c>
      <c r="W80" s="3" t="inlineStr">
        <is>
          <t>A</t>
        </is>
      </c>
      <c r="X80" s="4" t="n">
        <v>46235</v>
      </c>
      <c r="Y80" s="4" t="n">
        <v>46234</v>
      </c>
      <c r="Z80" s="6" t="n"/>
      <c r="AA80" s="6" t="n"/>
      <c r="AB80" s="3" t="inlineStr">
        <is>
          <t>EJECUTADO</t>
        </is>
      </c>
      <c r="AD80" s="3" t="inlineStr">
        <is>
          <t>Infraestructura</t>
        </is>
      </c>
      <c r="AI80" s="3" t="inlineStr">
        <is>
          <t>PROY1430</t>
        </is>
      </c>
    </row>
    <row r="81">
      <c r="A81" s="3" t="n">
        <v>76</v>
      </c>
      <c r="B81" s="3" t="inlineStr">
        <is>
          <t>OPS_075</t>
        </is>
      </c>
      <c r="C81" s="3" t="inlineStr">
        <is>
          <t>OPS</t>
        </is>
      </c>
      <c r="D81" s="3" t="inlineStr">
        <is>
          <t>Katherine Polo</t>
        </is>
      </c>
      <c r="F81" s="3" t="inlineStr">
        <is>
          <t>mailto:eillanes@utp.edu.pe</t>
        </is>
      </c>
      <c r="H81" s="3" t="inlineStr">
        <is>
          <t>REMODELACION DEL FONDO DE ESCENARIO EN AUDITORIOS ( TTA SC Pacífico)</t>
        </is>
      </c>
      <c r="I81" s="3" t="inlineStr">
        <is>
          <t>Las más críticas son TTA SC y Pacífico no cumplen con ningún estandar, LE LS SJL LN  tienen estandar anterior en buena condición</t>
        </is>
      </c>
      <c r="J81" s="3" t="inlineStr">
        <is>
          <t>REMODELACION ESCENARIOS AUDITORIOS 2026</t>
        </is>
      </c>
      <c r="K81" s="3" t="inlineStr">
        <is>
          <t>OK</t>
        </is>
      </c>
      <c r="L81" s="3">
        <f>SUM(M81:O81)</f>
        <v/>
      </c>
      <c r="M81" s="3" t="n">
        <v>5</v>
      </c>
      <c r="N81" s="3" t="n">
        <v>5</v>
      </c>
      <c r="O81" s="3" t="n">
        <v>1</v>
      </c>
      <c r="P81" s="3" t="inlineStr">
        <is>
          <t>OK</t>
        </is>
      </c>
      <c r="Q81" s="3" t="inlineStr">
        <is>
          <t>SI</t>
        </is>
      </c>
      <c r="R81" s="3" t="inlineStr">
        <is>
          <t>UTP Lima Centro</t>
        </is>
      </c>
      <c r="S81" s="3" t="n">
        <v>10110102</v>
      </c>
      <c r="T81" s="3" t="inlineStr">
        <is>
          <t>UTP AREQUIPA 660- 670 - LIMA</t>
        </is>
      </c>
      <c r="U81" s="3" t="n">
        <v>50000</v>
      </c>
      <c r="V81" s="3" t="n">
        <v>27769.98</v>
      </c>
      <c r="W81" s="3" t="inlineStr">
        <is>
          <t>A</t>
        </is>
      </c>
      <c r="X81" s="4" t="n">
        <v>46235</v>
      </c>
      <c r="Y81" s="4" t="n">
        <v>46234</v>
      </c>
      <c r="Z81" s="6" t="n"/>
      <c r="AA81" s="6" t="n"/>
      <c r="AB81" s="3" t="inlineStr">
        <is>
          <t>EJECUTADO</t>
        </is>
      </c>
      <c r="AD81" s="3" t="inlineStr">
        <is>
          <t>Infraestructura</t>
        </is>
      </c>
      <c r="AI81" s="3" t="inlineStr">
        <is>
          <t>PROY1431</t>
        </is>
      </c>
      <c r="AM81" s="3" t="inlineStr">
        <is>
          <t>Pendiente en consulta</t>
        </is>
      </c>
    </row>
    <row r="82">
      <c r="A82" s="3" t="n">
        <v>77</v>
      </c>
      <c r="B82" s="3" t="inlineStr">
        <is>
          <t>OPS_076</t>
        </is>
      </c>
      <c r="C82" s="3" t="inlineStr">
        <is>
          <t>OPS</t>
        </is>
      </c>
      <c r="D82" s="3" t="inlineStr">
        <is>
          <t>Vicente Rodríguez/Eloy</t>
        </is>
      </c>
      <c r="F82" s="3" t="inlineStr">
        <is>
          <t>mailto:eillanes@utp.edu.pe</t>
        </is>
      </c>
      <c r="H82" s="3" t="inlineStr">
        <is>
          <t>REMODELACION LAB, MAQUINAS ELECTRICAS</t>
        </is>
      </c>
      <c r="Q82" s="3" t="inlineStr">
        <is>
          <t>SI</t>
        </is>
      </c>
      <c r="R82" s="3" t="inlineStr">
        <is>
          <t>UTP Lima Sur</t>
        </is>
      </c>
      <c r="S82" s="3" t="n">
        <v>10220106</v>
      </c>
      <c r="T82" s="3" t="inlineStr">
        <is>
          <t>UTP EL TRIUNFO S/N-VILLA SALVA - LIMA</t>
        </is>
      </c>
      <c r="U82" s="3" t="n">
        <v>18000</v>
      </c>
      <c r="V82" s="3" t="n">
        <v>15955.15</v>
      </c>
      <c r="W82" s="3" t="inlineStr">
        <is>
          <t>A</t>
        </is>
      </c>
      <c r="X82" s="4" t="n">
        <v>46082</v>
      </c>
      <c r="Y82" s="4" t="n">
        <v>46111</v>
      </c>
      <c r="Z82" s="4" t="n">
        <v>46082</v>
      </c>
      <c r="AA82" s="4" t="n">
        <v>46111</v>
      </c>
      <c r="AB82" s="3" t="inlineStr">
        <is>
          <t>EJECUTADO</t>
        </is>
      </c>
      <c r="AC82" s="3" t="inlineStr">
        <is>
          <t>EJECUTADO</t>
        </is>
      </c>
      <c r="AD82" s="3" t="inlineStr">
        <is>
          <t>Proyectos Ops / Mantenimiento</t>
        </is>
      </c>
      <c r="AE82" s="3" t="inlineStr">
        <is>
          <t>SC-0000116737-2026</t>
        </is>
      </c>
      <c r="AF82" s="7" t="n">
        <v>46063</v>
      </c>
      <c r="AG82" s="3" t="inlineStr">
        <is>
          <t>OC-0000122075-2026</t>
        </is>
      </c>
      <c r="AH82" s="7" t="n">
        <v>46079</v>
      </c>
      <c r="AI82" s="3" t="inlineStr">
        <is>
          <t>PROY1398</t>
        </is>
      </c>
      <c r="AJ82" s="3" t="inlineStr">
        <is>
          <t>UTP_VES_REMODELACION_ LAB, MAQUINAS ELECTRICAS</t>
        </is>
      </c>
      <c r="AK82" s="7" t="n">
        <v>46055</v>
      </c>
      <c r="AL82" s="3" t="inlineStr">
        <is>
          <t>ESEVERINO</t>
        </is>
      </c>
    </row>
    <row r="83">
      <c r="A83" s="3" t="n">
        <v>78</v>
      </c>
      <c r="B83" s="3" t="inlineStr">
        <is>
          <t>OPS_077</t>
        </is>
      </c>
      <c r="C83" s="3" t="inlineStr">
        <is>
          <t>OPS</t>
        </is>
      </c>
      <c r="D83" s="3" t="inlineStr">
        <is>
          <t xml:space="preserve">Elmer Raul ILLANES PAUCAR </t>
        </is>
      </c>
      <c r="F83" s="3" t="inlineStr">
        <is>
          <t>eillanes@utp,edu,pe</t>
        </is>
      </c>
      <c r="G83" s="3" t="inlineStr">
        <is>
          <t>994 690 404</t>
        </is>
      </c>
      <c r="H83" s="3" t="inlineStr">
        <is>
          <t>Renovación de 40 puertas deterioradas</t>
        </is>
      </c>
      <c r="I83" s="3" t="inlineStr">
        <is>
          <t>Renovacion de puertas deterioradas por uso</t>
        </is>
      </c>
      <c r="J83" s="3" t="inlineStr">
        <is>
          <t>https://utpedupe,sharepoint,com/:f:/s/OperacionesCIX/Ekv9RKVnw6FInLOkchvl56kBhs3dV1bLiOEZkNNwlTbHkQ?e=ir6xIq</t>
        </is>
      </c>
      <c r="K83" s="3" t="inlineStr">
        <is>
          <t>OK</t>
        </is>
      </c>
      <c r="L83" s="3">
        <f>SUM(M83:O83)</f>
        <v/>
      </c>
      <c r="M83" s="3" t="n">
        <v>4</v>
      </c>
      <c r="N83" s="3" t="n">
        <v>4</v>
      </c>
      <c r="O83" s="3" t="n">
        <v>4</v>
      </c>
      <c r="Q83" s="3" t="inlineStr">
        <is>
          <t>SI</t>
        </is>
      </c>
      <c r="R83" s="3" t="inlineStr">
        <is>
          <t>UTP Chiclayo</t>
        </is>
      </c>
      <c r="S83" s="3" t="n">
        <v>70120201</v>
      </c>
      <c r="T83" s="3" t="inlineStr">
        <is>
          <t>UTP AV, PROGRESO CON AV, EVITAMIENTO S/N  - CHICLAYO</t>
        </is>
      </c>
      <c r="U83" s="3" t="n">
        <v>64000</v>
      </c>
      <c r="V83" s="3" t="n">
        <v>80868.7</v>
      </c>
      <c r="W83" s="3" t="inlineStr">
        <is>
          <t>A</t>
        </is>
      </c>
      <c r="X83" s="4" t="n">
        <v>46113</v>
      </c>
      <c r="Y83" s="4" t="n">
        <v>46203</v>
      </c>
      <c r="Z83" s="4" t="n">
        <v>46113</v>
      </c>
      <c r="AA83" s="4" t="n">
        <v>46162</v>
      </c>
      <c r="AB83" s="3" t="inlineStr">
        <is>
          <t>EJECUTADO</t>
        </is>
      </c>
      <c r="AC83" s="3" t="inlineStr">
        <is>
          <t>EJECUTADO</t>
        </is>
      </c>
      <c r="AD83" s="3" t="inlineStr">
        <is>
          <t>Mantenimiento</t>
        </is>
      </c>
      <c r="AE83" s="3" t="inlineStr">
        <is>
          <t>SC-0000116991-2026</t>
        </is>
      </c>
      <c r="AF83" s="7" t="n">
        <v>46064</v>
      </c>
      <c r="AG83" s="3" t="inlineStr">
        <is>
          <t xml:space="preserve">OC-0000121764-2026 </t>
        </is>
      </c>
      <c r="AH83" s="7" t="n">
        <v>46090</v>
      </c>
      <c r="AI83" s="3" t="inlineStr">
        <is>
          <t>PROY1399</t>
        </is>
      </c>
      <c r="AJ83" s="3" t="inlineStr">
        <is>
          <t>UTP_Chiclayo_Renovación_40 puertas deterioradas</t>
        </is>
      </c>
      <c r="AK83" s="7" t="n">
        <v>46055</v>
      </c>
      <c r="AL83" s="3" t="inlineStr">
        <is>
          <t>ESEVERINO</t>
        </is>
      </c>
      <c r="AM83" s="3" t="inlineStr">
        <is>
          <t>solicitante Maria Gonzales</t>
        </is>
      </c>
    </row>
    <row r="84">
      <c r="A84" s="3" t="n">
        <v>79</v>
      </c>
      <c r="B84" s="3" t="inlineStr">
        <is>
          <t>OPS_078</t>
        </is>
      </c>
      <c r="C84" s="3" t="inlineStr">
        <is>
          <t>OPS</t>
        </is>
      </c>
      <c r="D84" s="3" t="inlineStr">
        <is>
          <t xml:space="preserve">VICENTE CAYETANO RODRIGUEZ PASTOR </t>
        </is>
      </c>
      <c r="F84" s="3" t="inlineStr">
        <is>
          <t>vrodriguep@utp,edu,pe</t>
        </is>
      </c>
      <c r="G84" s="3" t="inlineStr">
        <is>
          <t>955 141 444</t>
        </is>
      </c>
      <c r="H84" s="3" t="inlineStr">
        <is>
          <t>Renovación de 70 griferías de lavatorios de los baños en Torre Arequipa</t>
        </is>
      </c>
      <c r="I84" s="3" t="inlineStr">
        <is>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is>
      </c>
      <c r="J84" s="3" t="inlineStr">
        <is>
          <t>https://drive,google,com/file/d/1JYwl9pdZ1_zDv2cv1nn5kBfJq9di6w6U/view?usp=drive_link</t>
        </is>
      </c>
      <c r="K84" s="3" t="inlineStr">
        <is>
          <t>OK</t>
        </is>
      </c>
      <c r="L84" s="3">
        <f>SUM(M84:O84)</f>
        <v/>
      </c>
      <c r="M84" s="3" t="n">
        <v>2</v>
      </c>
      <c r="N84" s="3" t="n">
        <v>5</v>
      </c>
      <c r="O84" s="3" t="n">
        <v>1</v>
      </c>
      <c r="Q84" s="3" t="inlineStr">
        <is>
          <t>SI</t>
        </is>
      </c>
      <c r="R84" s="3" t="inlineStr">
        <is>
          <t>UTP Lima Centro</t>
        </is>
      </c>
      <c r="S84" s="3" t="n">
        <v>10110205</v>
      </c>
      <c r="T84" s="3" t="inlineStr">
        <is>
          <t>UTP AV, AREQUIPA 265-279 - LIMA</t>
        </is>
      </c>
      <c r="U84" s="3" t="n">
        <v>0</v>
      </c>
      <c r="V84" s="3" t="n">
        <v>0</v>
      </c>
      <c r="W84" s="3" t="inlineStr">
        <is>
          <t>C</t>
        </is>
      </c>
      <c r="X84" s="6" t="n"/>
      <c r="Y84" s="6" t="n"/>
      <c r="Z84" s="6" t="n"/>
      <c r="AA84" s="6" t="n"/>
      <c r="AB84" s="3" t="inlineStr">
        <is>
          <t>CANCELADO</t>
        </is>
      </c>
      <c r="AD84" s="3" t="inlineStr">
        <is>
          <t>Mantenimiento</t>
        </is>
      </c>
      <c r="AI84" s="3" t="inlineStr">
        <is>
          <t>PROY1400</t>
        </is>
      </c>
      <c r="AJ84" s="3" t="inlineStr">
        <is>
          <t>UTP_Arq265-279_Renovación_70 griferías_lavatorios_baños_Torre II</t>
        </is>
      </c>
      <c r="AK84" s="7" t="n">
        <v>46055</v>
      </c>
      <c r="AL84" s="3" t="inlineStr">
        <is>
          <t>ESEVERINO</t>
        </is>
      </c>
      <c r="AM84" s="3" t="inlineStr">
        <is>
          <t>Se cancela revisado y aprobado por Elida (SC-0000116744-2026)</t>
        </is>
      </c>
      <c r="AO84" s="3" t="inlineStr">
        <is>
          <t>CANCELADO</t>
        </is>
      </c>
    </row>
    <row r="85">
      <c r="A85" s="3" t="n">
        <v>80</v>
      </c>
      <c r="B85" s="3" t="inlineStr">
        <is>
          <t>OPS_079</t>
        </is>
      </c>
      <c r="C85" s="3" t="inlineStr">
        <is>
          <t>OPS</t>
        </is>
      </c>
      <c r="D85" s="3" t="inlineStr">
        <is>
          <t xml:space="preserve">VICENTE CAYETANO RODRIGUEZ PASTOR </t>
        </is>
      </c>
      <c r="F85" s="3" t="inlineStr">
        <is>
          <t>vrodriguep@utp,edu,pe</t>
        </is>
      </c>
      <c r="G85" s="3" t="inlineStr">
        <is>
          <t>955 141 444</t>
        </is>
      </c>
      <c r="H85" s="3" t="inlineStr">
        <is>
          <t>Renovación de 77 fluxómetros de los baños en Torre Arequipa</t>
        </is>
      </c>
      <c r="I85" s="3" t="inlineStr">
        <is>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is>
      </c>
      <c r="J85" s="3" t="inlineStr">
        <is>
          <t>https://drive,google,com/file/d/14iwmsQ7khk8EqBjZ5JCRthmcgOJr87ki/view?usp=drive_link</t>
        </is>
      </c>
      <c r="K85" s="3" t="inlineStr">
        <is>
          <t>OK</t>
        </is>
      </c>
      <c r="L85" s="3">
        <f>SUM(M85:O85)</f>
        <v/>
      </c>
      <c r="M85" s="3" t="n">
        <v>2</v>
      </c>
      <c r="N85" s="3" t="n">
        <v>5</v>
      </c>
      <c r="O85" s="3" t="n">
        <v>1</v>
      </c>
      <c r="Q85" s="3" t="inlineStr">
        <is>
          <t>SI</t>
        </is>
      </c>
      <c r="R85" s="3" t="inlineStr">
        <is>
          <t>UTP Lima Centro</t>
        </is>
      </c>
      <c r="S85" s="3" t="n">
        <v>10110205</v>
      </c>
      <c r="T85" s="3" t="inlineStr">
        <is>
          <t>UTP AV, AREQUIPA 265-279 - LIMA</t>
        </is>
      </c>
      <c r="U85" s="3" t="n">
        <v>59000</v>
      </c>
      <c r="V85" s="3" t="n">
        <v>23151.13</v>
      </c>
      <c r="W85" s="3" t="inlineStr">
        <is>
          <t>C</t>
        </is>
      </c>
      <c r="X85" s="4" t="n">
        <v>46082</v>
      </c>
      <c r="Y85" s="4" t="n">
        <v>46203</v>
      </c>
      <c r="Z85" s="4" t="n">
        <v>46082</v>
      </c>
      <c r="AA85" s="4" t="n">
        <v>46167</v>
      </c>
      <c r="AB85" s="3" t="inlineStr">
        <is>
          <t>EJECUTADO</t>
        </is>
      </c>
      <c r="AC85" s="3" t="inlineStr">
        <is>
          <t>EJECUTADO</t>
        </is>
      </c>
      <c r="AD85" s="3" t="inlineStr">
        <is>
          <t>Mantenimiento</t>
        </is>
      </c>
      <c r="AE85" s="3" t="inlineStr">
        <is>
          <t>SC-0000116775-2026 / SC-0000119671-2026</t>
        </is>
      </c>
      <c r="AF85" s="3" t="inlineStr">
        <is>
          <t>10/02 / 09/03</t>
        </is>
      </c>
      <c r="AG85" s="3" t="inlineStr">
        <is>
          <t xml:space="preserve">OC-0000123026-2026   / OC-0000123222-2026 </t>
        </is>
      </c>
      <c r="AH85" s="3" t="inlineStr">
        <is>
          <t>07/03 / 10/03</t>
        </is>
      </c>
      <c r="AI85" s="3" t="inlineStr">
        <is>
          <t>PROY1401</t>
        </is>
      </c>
      <c r="AJ85" s="3" t="inlineStr">
        <is>
          <t>UTP_Arq265-279_Renovación_77 fluxómetros_baños_Torre II</t>
        </is>
      </c>
      <c r="AK85" s="7" t="n">
        <v>46055</v>
      </c>
      <c r="AL85" s="3" t="inlineStr">
        <is>
          <t>ESEVERINO</t>
        </is>
      </c>
    </row>
    <row r="86">
      <c r="A86" s="3" t="n">
        <v>81</v>
      </c>
      <c r="B86" s="3" t="inlineStr">
        <is>
          <t>OPS_080</t>
        </is>
      </c>
      <c r="C86" s="3" t="inlineStr">
        <is>
          <t>OPS</t>
        </is>
      </c>
      <c r="D86" s="3" t="inlineStr">
        <is>
          <t>Eloy Pocohuanca</t>
        </is>
      </c>
      <c r="F86" s="3" t="inlineStr">
        <is>
          <t>epocohuanc@utp,edu,pe</t>
        </is>
      </c>
      <c r="G86" s="3" t="inlineStr">
        <is>
          <t>937 029 622</t>
        </is>
      </c>
      <c r="H86" s="3" t="inlineStr">
        <is>
          <t xml:space="preserve">Renovación de mobiliario de  biblioteca de la sede Pacifico </t>
        </is>
      </c>
      <c r="I86" s="3" t="inlineStr">
        <is>
          <t>Renovación de mobiliario 8 mesas 72 sillas pintado de ambiente y counter  e instalación de luces led, El mobiliariono no corresponde al estandar de bibliotecas,</t>
        </is>
      </c>
      <c r="J86" s="3" t="inlineStr">
        <is>
          <t>https://utpedupe-my,sharepoint,com/:f:/g/personal/gricaza_utp_edu_pe/El5xox1oxXdOmgK68SuRThgB5LSa__eCpJCarXL9XzhewA?e=iWdBTX</t>
        </is>
      </c>
      <c r="K86" s="3" t="inlineStr">
        <is>
          <t>OK</t>
        </is>
      </c>
      <c r="L86" s="3">
        <f>SUM(M86:O86)</f>
        <v/>
      </c>
      <c r="M86" s="3" t="n">
        <v>5</v>
      </c>
      <c r="N86" s="3" t="n">
        <v>5</v>
      </c>
      <c r="O86" s="3" t="n">
        <v>2</v>
      </c>
      <c r="Q86" s="3" t="inlineStr">
        <is>
          <t>SI</t>
        </is>
      </c>
      <c r="R86" s="3" t="inlineStr">
        <is>
          <t>UTP Lima Centro</t>
        </is>
      </c>
      <c r="S86" s="3" t="n">
        <v>10110102</v>
      </c>
      <c r="T86" s="3" t="inlineStr">
        <is>
          <t>UTP AREQUIPA 660- 670 - LIMA</t>
        </is>
      </c>
      <c r="U86" s="3" t="n">
        <v>20000</v>
      </c>
      <c r="V86" s="3" t="n">
        <v>15064.89</v>
      </c>
      <c r="W86" s="3" t="inlineStr">
        <is>
          <t>A</t>
        </is>
      </c>
      <c r="X86" s="4" t="n">
        <v>46188</v>
      </c>
      <c r="Y86" s="4" t="n">
        <v>46310</v>
      </c>
      <c r="Z86" s="4" t="n">
        <v>46203</v>
      </c>
      <c r="AA86" s="6" t="n"/>
      <c r="AB86" s="3" t="inlineStr">
        <is>
          <t>EN PROCESO</t>
        </is>
      </c>
      <c r="AD86" s="3" t="inlineStr">
        <is>
          <t>Proyectos Ops / Campus</t>
        </is>
      </c>
      <c r="AE86" s="3" t="inlineStr">
        <is>
          <t>SC-0000130128-2026  / SC-0000130143-2026</t>
        </is>
      </c>
      <c r="AF86" s="7" t="n">
        <v>46168</v>
      </c>
      <c r="AG86" s="3" t="inlineStr">
        <is>
          <t>OC-0000132339-2026 / OC-0000135868-2026</t>
        </is>
      </c>
      <c r="AH86" s="3" t="inlineStr">
        <is>
          <t>26/05 / 18/06</t>
        </is>
      </c>
      <c r="AI86" s="3" t="inlineStr">
        <is>
          <t>AM001201</t>
        </is>
      </c>
      <c r="AJ86" s="3" t="inlineStr">
        <is>
          <t>UTP_Arq660-670_Renovación_mobiliario_biblioteca/OC-0000135868-2026 YA TIENE NR</t>
        </is>
      </c>
      <c r="AK86" s="7" t="n">
        <v>46055</v>
      </c>
      <c r="AL86" s="3" t="inlineStr">
        <is>
          <t>ESEVERINO</t>
        </is>
      </c>
      <c r="AM86" s="3" t="inlineStr">
        <is>
          <t>Pendiente diseño de mesa con tomacorrientes</t>
        </is>
      </c>
    </row>
    <row r="87">
      <c r="A87" s="3" t="n">
        <v>82</v>
      </c>
      <c r="B87" s="3" t="inlineStr">
        <is>
          <t>OPS_081</t>
        </is>
      </c>
      <c r="C87" s="3" t="inlineStr">
        <is>
          <t>OPS</t>
        </is>
      </c>
      <c r="D87" s="3" t="inlineStr">
        <is>
          <t>Eloy Pocohuanca/Carlos Sanchez</t>
        </is>
      </c>
      <c r="F87" s="3" t="inlineStr">
        <is>
          <t>epocohuanc@utp,edu,pe</t>
        </is>
      </c>
      <c r="G87" s="3" t="inlineStr">
        <is>
          <t>937 029 622</t>
        </is>
      </c>
      <c r="H87" s="3" t="inlineStr">
        <is>
          <t>RENOVACION DE MOBILIARIO EQUIPOS ALFOMBRA DE AUDITORIO (SJL)</t>
        </is>
      </c>
      <c r="J87" s="3" t="inlineStr">
        <is>
          <t>RENOVACION MOBILIARIO ALFOMBRA AUDITORIOS</t>
        </is>
      </c>
      <c r="Q87" s="3" t="inlineStr">
        <is>
          <t>SI</t>
        </is>
      </c>
      <c r="R87" s="3" t="inlineStr">
        <is>
          <t>UTP SJL</t>
        </is>
      </c>
      <c r="S87" s="3" t="n">
        <v>10220110</v>
      </c>
      <c r="T87" s="3" t="inlineStr">
        <is>
          <t>UTP AV,SOL SUB LT 13B MZG SJL - LIMA</t>
        </is>
      </c>
      <c r="U87" s="3" t="n">
        <v>98500</v>
      </c>
      <c r="W87" s="3" t="inlineStr">
        <is>
          <t>A</t>
        </is>
      </c>
      <c r="X87" s="4" t="n">
        <v>46174</v>
      </c>
      <c r="Y87" s="4" t="n">
        <v>46295</v>
      </c>
      <c r="Z87" s="6" t="n"/>
      <c r="AA87" s="6" t="n"/>
      <c r="AB87" s="3" t="inlineStr">
        <is>
          <t>EN PROCESO</t>
        </is>
      </c>
      <c r="AD87" s="3" t="inlineStr">
        <is>
          <t>Proyectos Ops / Campus</t>
        </is>
      </c>
      <c r="AE87" s="3" t="inlineStr">
        <is>
          <t>SC-0000141274-2026</t>
        </is>
      </c>
      <c r="AF87" s="7" t="n">
        <v>46254</v>
      </c>
      <c r="AI87" s="3" t="inlineStr">
        <is>
          <t>AM001202</t>
        </is>
      </c>
      <c r="AJ87" s="3" t="inlineStr">
        <is>
          <t>UTP_SJL_RENOVACION DE MOBILIARIO EQUIPOS ALFOMBRA DE AUDITORIO (SJL Pacífico)</t>
        </is>
      </c>
      <c r="AK87" s="7" t="n">
        <v>46055</v>
      </c>
      <c r="AL87" s="3" t="inlineStr">
        <is>
          <t>ESEVERINO</t>
        </is>
      </c>
      <c r="AM87" s="3" t="inlineStr">
        <is>
          <t>Definir alcance Grecia</t>
        </is>
      </c>
    </row>
    <row r="88">
      <c r="A88" s="3" t="n">
        <v>83</v>
      </c>
      <c r="B88" s="3" t="inlineStr">
        <is>
          <t>OPS_082</t>
        </is>
      </c>
      <c r="C88" s="3" t="inlineStr">
        <is>
          <t>OPS</t>
        </is>
      </c>
      <c r="D88" s="3" t="inlineStr">
        <is>
          <t>Eloy Pocohuanca/Carlos Sanchez</t>
        </is>
      </c>
      <c r="F88" s="3" t="inlineStr">
        <is>
          <t>epocohuanc@utp,edu,pe</t>
        </is>
      </c>
      <c r="G88" s="3" t="inlineStr">
        <is>
          <t>937 029 622</t>
        </is>
      </c>
      <c r="H88" s="3" t="inlineStr">
        <is>
          <t>RENOVACION DE MOBILIARIO EQUIPOS ALFOMBRA DE AUDITORIO ( Pacífico)</t>
        </is>
      </c>
      <c r="I88" s="3" t="inlineStr">
        <is>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is>
      </c>
      <c r="J88" s="3" t="inlineStr">
        <is>
          <t>RENOVACION MOBILIARIO ALFOMBRA AUDITORIOS</t>
        </is>
      </c>
      <c r="K88" s="3" t="inlineStr">
        <is>
          <t>OK</t>
        </is>
      </c>
      <c r="L88" s="3">
        <f>SUM(M88:O88)</f>
        <v/>
      </c>
      <c r="M88" s="3" t="n">
        <v>5</v>
      </c>
      <c r="N88" s="3" t="n">
        <v>5</v>
      </c>
      <c r="O88" s="3" t="n">
        <v>1</v>
      </c>
      <c r="Q88" s="3" t="inlineStr">
        <is>
          <t>SI</t>
        </is>
      </c>
      <c r="R88" s="3" t="inlineStr">
        <is>
          <t>UTP Lima Centro</t>
        </is>
      </c>
      <c r="S88" s="3" t="n">
        <v>10110102</v>
      </c>
      <c r="T88" s="3" t="inlineStr">
        <is>
          <t>UTP AREQUIPA 660- 670 - LIMA</t>
        </is>
      </c>
      <c r="U88" s="3" t="n">
        <v>98500</v>
      </c>
      <c r="V88" s="3" t="n">
        <v>78800.1612</v>
      </c>
      <c r="W88" s="3" t="inlineStr">
        <is>
          <t>A</t>
        </is>
      </c>
      <c r="X88" s="4" t="n">
        <v>46174</v>
      </c>
      <c r="Y88" s="4" t="n">
        <v>46310</v>
      </c>
      <c r="Z88" s="4" t="n">
        <v>46137</v>
      </c>
      <c r="AA88" s="6" t="n"/>
      <c r="AB88" s="3" t="inlineStr">
        <is>
          <t>EN PROCESO</t>
        </is>
      </c>
      <c r="AD88" s="3" t="inlineStr">
        <is>
          <t>Proyectos Ops / Campus</t>
        </is>
      </c>
      <c r="AE88" s="3" t="inlineStr">
        <is>
          <t>SC-0000124574-2026 / SC-0000137824-2026</t>
        </is>
      </c>
      <c r="AF88" s="7" t="n">
        <v>46132</v>
      </c>
      <c r="AG88" s="3" t="inlineStr">
        <is>
          <t xml:space="preserve">OC-0000128967-2026 / OC-0000131424-2026 / OC-0000138255-2026 </t>
        </is>
      </c>
      <c r="AH88" s="3" t="inlineStr">
        <is>
          <t>06/05 / 22/05 / 02/07</t>
        </is>
      </c>
      <c r="AI88" s="3" t="inlineStr">
        <is>
          <t>AM001203</t>
        </is>
      </c>
      <c r="AJ88" s="3" t="inlineStr">
        <is>
          <t>UTP_Arq660-670_RENOVACION DE MOBILIARIO EQUIPOS ALFOMBRA DE AUDITORIO (SJL Pacífico)</t>
        </is>
      </c>
      <c r="AK88" s="7" t="n">
        <v>46055</v>
      </c>
      <c r="AL88" s="3" t="inlineStr">
        <is>
          <t>ESEVERINO</t>
        </is>
      </c>
      <c r="AM88" s="3" t="inlineStr">
        <is>
          <t>OC-0000128967-2026 (AUDIO) EJECUTADO / SC-0000137824-2026(pintura)/OC-0000131424-2026 TIENE NR/OC-0000138255-2026 TIENE NR</t>
        </is>
      </c>
    </row>
    <row r="89">
      <c r="A89" s="3" t="n">
        <v>84</v>
      </c>
      <c r="B89" s="3" t="inlineStr">
        <is>
          <t>OPS_083</t>
        </is>
      </c>
      <c r="C89" s="3" t="inlineStr">
        <is>
          <t>OPS</t>
        </is>
      </c>
      <c r="D89" s="3" t="inlineStr">
        <is>
          <t>Gustavo Mallaupoma</t>
        </is>
      </c>
      <c r="H89" s="3" t="inlineStr">
        <is>
          <t>Renovación de piso  en la ruta de salida de los estudiantes (Av Petit Thouars) de Sede Central</t>
        </is>
      </c>
      <c r="I89" s="3" t="inlineStr">
        <is>
          <t>El piso se encuentra desgastado pese a que se le da tratamiento el efecto no es permanente ni duradero, Así mismo tiene desniveles que en época de lluvias forman charcos que pueden provocar accidentes, Genera una imagen negativa para la percepción de los estudiantes,</t>
        </is>
      </c>
      <c r="J89" s="3" t="inlineStr">
        <is>
          <t>https://drive,google,com/drive/folders/1nl6Zmy9Fa9oSNtlbJ6UyGcux8kj_OhHc</t>
        </is>
      </c>
      <c r="K89" s="3" t="inlineStr">
        <is>
          <t>OK</t>
        </is>
      </c>
      <c r="L89" s="3">
        <f>SUM(M89:O89)</f>
        <v/>
      </c>
      <c r="M89" s="3" t="n">
        <v>3</v>
      </c>
      <c r="N89" s="3" t="n">
        <v>5</v>
      </c>
      <c r="O89" s="3" t="n">
        <v>1</v>
      </c>
      <c r="Q89" s="3" t="inlineStr">
        <is>
          <t>SI</t>
        </is>
      </c>
      <c r="R89" s="3" t="inlineStr">
        <is>
          <t>UTP Lima Centro</t>
        </is>
      </c>
      <c r="S89" s="3" t="n">
        <v>10110201</v>
      </c>
      <c r="T89" s="3" t="inlineStr">
        <is>
          <t>UTP PETITTHOURS 116 -  LIMA</t>
        </is>
      </c>
      <c r="U89" s="3" t="n">
        <v>30000</v>
      </c>
      <c r="V89" s="3" t="n">
        <v>9779.77</v>
      </c>
      <c r="W89" s="3" t="inlineStr">
        <is>
          <t>B</t>
        </is>
      </c>
      <c r="X89" s="4" t="n">
        <v>46082</v>
      </c>
      <c r="Y89" s="4" t="n">
        <v>46082</v>
      </c>
      <c r="Z89" s="4" t="n">
        <v>46082</v>
      </c>
      <c r="AA89" s="4" t="n">
        <v>46111</v>
      </c>
      <c r="AB89" s="3" t="inlineStr">
        <is>
          <t>EJECUTADO</t>
        </is>
      </c>
      <c r="AC89" s="3" t="inlineStr">
        <is>
          <t>EJECUTADO</t>
        </is>
      </c>
      <c r="AD89" s="3" t="inlineStr">
        <is>
          <t>Mantenimiento</t>
        </is>
      </c>
      <c r="AE89" s="3" t="inlineStr">
        <is>
          <t>SC-0000119911-2026</t>
        </is>
      </c>
      <c r="AF89" s="7" t="n">
        <v>46091</v>
      </c>
      <c r="AG89" s="3" t="inlineStr">
        <is>
          <t>OC-0000124128-2026</t>
        </is>
      </c>
      <c r="AH89" s="7" t="n">
        <v>46098</v>
      </c>
      <c r="AI89" s="3" t="inlineStr">
        <is>
          <t>PROY1402</t>
        </is>
      </c>
      <c r="AJ89" s="3" t="inlineStr">
        <is>
          <t>UTP_PTT_116_Renovación de piso  en la ruta de salida de los estudiantes</t>
        </is>
      </c>
      <c r="AK89" s="7" t="n">
        <v>46055</v>
      </c>
      <c r="AL89" s="3" t="inlineStr">
        <is>
          <t>ESEVERINO</t>
        </is>
      </c>
      <c r="AM89" s="3" t="inlineStr">
        <is>
          <t>Consultar con Fredy</t>
        </is>
      </c>
    </row>
    <row r="90">
      <c r="A90" s="3" t="n">
        <v>85</v>
      </c>
      <c r="B90" s="3" t="inlineStr">
        <is>
          <t>OPS_084</t>
        </is>
      </c>
      <c r="C90" s="3" t="inlineStr">
        <is>
          <t>OPS</t>
        </is>
      </c>
      <c r="D90" s="3" t="inlineStr">
        <is>
          <t>Gustavo Mallaupoma</t>
        </is>
      </c>
      <c r="H90" s="3" t="inlineStr">
        <is>
          <t>Renovación de piso en la ruta de salida de los estudiantes (Av Hernán Velarde) de Sede Central</t>
        </is>
      </c>
      <c r="I90" s="3" t="inlineStr">
        <is>
          <t>El piso se encuentra desgastado pese a que se le da tratamiento el efecto no es permanente ni duradero, Así mismo tiene desniveles que en época de lluvias forman charcos que pueden provocar accidentes, Genera una imagen negativa para la percepción de los estudiantes,</t>
        </is>
      </c>
      <c r="J90" s="3" t="inlineStr">
        <is>
          <t>https://drive,google,com/drive/folders/1wblKsN_IB2rV3gYmxJP5T8ffk2R6W2f5?usp=drive_link</t>
        </is>
      </c>
      <c r="K90" s="3" t="inlineStr">
        <is>
          <t>OK</t>
        </is>
      </c>
      <c r="L90" s="3">
        <f>SUM(M90:O90)</f>
        <v/>
      </c>
      <c r="M90" s="3" t="n">
        <v>3</v>
      </c>
      <c r="N90" s="3" t="n">
        <v>5</v>
      </c>
      <c r="O90" s="3" t="n">
        <v>1</v>
      </c>
      <c r="Q90" s="3" t="inlineStr">
        <is>
          <t>SI</t>
        </is>
      </c>
      <c r="R90" s="3" t="inlineStr">
        <is>
          <t>UTP Lima Centro</t>
        </is>
      </c>
      <c r="S90" s="3" t="n">
        <v>10110201</v>
      </c>
      <c r="T90" s="3" t="inlineStr">
        <is>
          <t>UTP PETITTHOURS 116 -  LIMA</t>
        </is>
      </c>
      <c r="U90" s="3" t="n">
        <v>30000</v>
      </c>
      <c r="V90" s="3" t="n">
        <v>22497.76</v>
      </c>
      <c r="W90" s="3" t="inlineStr">
        <is>
          <t>B</t>
        </is>
      </c>
      <c r="X90" s="4" t="n">
        <v>46082</v>
      </c>
      <c r="Y90" s="4" t="n">
        <v>46082</v>
      </c>
      <c r="Z90" s="4" t="n">
        <v>46082</v>
      </c>
      <c r="AA90" s="4" t="n">
        <v>46111</v>
      </c>
      <c r="AB90" s="3" t="inlineStr">
        <is>
          <t>EJECUTADO</t>
        </is>
      </c>
      <c r="AC90" s="3" t="inlineStr">
        <is>
          <t>EJECUTADO</t>
        </is>
      </c>
      <c r="AD90" s="3" t="inlineStr">
        <is>
          <t>Mantenimiento</t>
        </is>
      </c>
      <c r="AE90" s="3" t="inlineStr">
        <is>
          <t>SC-0000119915-2026</t>
        </is>
      </c>
      <c r="AF90" s="7" t="n">
        <v>46091</v>
      </c>
      <c r="AG90" s="3" t="inlineStr">
        <is>
          <t>OC-0000124209-2026</t>
        </is>
      </c>
      <c r="AH90" s="7" t="n">
        <v>46099</v>
      </c>
      <c r="AI90" s="3" t="inlineStr">
        <is>
          <t>PROY1403</t>
        </is>
      </c>
      <c r="AJ90" s="3" t="inlineStr">
        <is>
          <t>UTP_Hernan Velarde _Renovación de piso  en la ruta de salida de los estudiantes</t>
        </is>
      </c>
      <c r="AK90" s="7" t="n">
        <v>46055</v>
      </c>
      <c r="AL90" s="3" t="inlineStr">
        <is>
          <t>ESEVERINO</t>
        </is>
      </c>
      <c r="AM90" s="3" t="inlineStr">
        <is>
          <t>Consultar con Fredy</t>
        </is>
      </c>
    </row>
    <row r="91">
      <c r="A91" s="3" t="n">
        <v>86</v>
      </c>
      <c r="B91" s="3" t="inlineStr">
        <is>
          <t>OPS_085</t>
        </is>
      </c>
      <c r="C91" s="3" t="inlineStr">
        <is>
          <t>OPS</t>
        </is>
      </c>
      <c r="D91" s="3" t="inlineStr">
        <is>
          <t>Gustavo Mallaupoma</t>
        </is>
      </c>
      <c r="H91" s="3" t="inlineStr">
        <is>
          <t>Reprogramación de ascensores por pisos</t>
        </is>
      </c>
      <c r="I91" s="3" t="inlineStr">
        <is>
          <t>Se propone la reprogramación de los ascensores asignando a cada uno un rango específico de pisos, Con esta medida buscamos optimizar su uso reducir los tiempos de espera y evitar aglomeraciones tal como ya se viene aplicando con éxito en otros campus,</t>
        </is>
      </c>
      <c r="J91" s="3" t="inlineStr">
        <is>
          <t>Proyectos CAPEX_PIURA - Dropbox</t>
        </is>
      </c>
      <c r="K91" s="3" t="inlineStr">
        <is>
          <t>OK</t>
        </is>
      </c>
      <c r="L91" s="3">
        <f>SUM(M91:O91)</f>
        <v/>
      </c>
      <c r="M91" s="3" t="n">
        <v>5</v>
      </c>
      <c r="N91" s="3" t="n">
        <v>4</v>
      </c>
      <c r="O91" s="3" t="n">
        <v>4</v>
      </c>
      <c r="Q91" s="3" t="inlineStr">
        <is>
          <t>SI</t>
        </is>
      </c>
      <c r="R91" s="3" t="inlineStr">
        <is>
          <t>UTP Piura</t>
        </is>
      </c>
      <c r="S91" s="3" t="n">
        <v>70170101</v>
      </c>
      <c r="T91" s="3" t="inlineStr">
        <is>
          <t>UTP AV,PANAMERICANA 234 -PIURA</t>
        </is>
      </c>
      <c r="U91" s="3" t="n">
        <v>50000</v>
      </c>
      <c r="W91" s="3" t="inlineStr">
        <is>
          <t>A</t>
        </is>
      </c>
      <c r="X91" s="4" t="n">
        <v>46233</v>
      </c>
      <c r="Y91" s="4" t="n">
        <v>46310</v>
      </c>
      <c r="Z91" s="6" t="n"/>
      <c r="AA91" s="6" t="n"/>
      <c r="AB91" s="3" t="inlineStr">
        <is>
          <t>EN PROCESO</t>
        </is>
      </c>
      <c r="AD91" s="3" t="inlineStr">
        <is>
          <t>Mantenimiento</t>
        </is>
      </c>
      <c r="AE91" s="3" t="inlineStr">
        <is>
          <t>SC-0000116872-2026</t>
        </is>
      </c>
      <c r="AF91" s="7" t="n">
        <v>46063</v>
      </c>
      <c r="AG91" s="3" t="inlineStr">
        <is>
          <t>OC-0000142661-2026</t>
        </is>
      </c>
      <c r="AH91" s="7" t="n">
        <v>46239</v>
      </c>
      <c r="AI91" s="3" t="inlineStr">
        <is>
          <t>PROY1404</t>
        </is>
      </c>
      <c r="AJ91" s="3" t="inlineStr">
        <is>
          <t>UTP_Piura_Reprogramación de ascensores por pisos</t>
        </is>
      </c>
      <c r="AK91" s="7" t="n">
        <v>46055</v>
      </c>
      <c r="AL91" s="3" t="inlineStr">
        <is>
          <t>ESEVERINO</t>
        </is>
      </c>
      <c r="AM91" s="3" t="inlineStr">
        <is>
          <t>Se volvió a enviar la solicitud de nuevo encargado Gustavo M.</t>
        </is>
      </c>
    </row>
    <row r="92">
      <c r="A92" s="3" t="n">
        <v>87</v>
      </c>
      <c r="B92" s="3" t="inlineStr">
        <is>
          <t>OPS_086</t>
        </is>
      </c>
      <c r="C92" s="3" t="inlineStr">
        <is>
          <t>OPS</t>
        </is>
      </c>
      <c r="D92" s="3" t="inlineStr">
        <is>
          <t xml:space="preserve">Alberto Fajardo Corpancho </t>
        </is>
      </c>
      <c r="F92" s="3" t="inlineStr">
        <is>
          <t>jfajardo@utp,edu,pe</t>
        </is>
      </c>
      <c r="G92" s="3" t="inlineStr">
        <is>
          <t>960 961 878</t>
        </is>
      </c>
      <c r="H92" s="3" t="inlineStr">
        <is>
          <t>Sistema fotoeléctrico/Reinstalación_Pacífico</t>
        </is>
      </c>
      <c r="Q92" s="3" t="inlineStr">
        <is>
          <t>SI</t>
        </is>
      </c>
      <c r="R92" s="3" t="inlineStr">
        <is>
          <t>UTP Lima Centro</t>
        </is>
      </c>
      <c r="S92" s="3" t="n">
        <v>10110102</v>
      </c>
      <c r="T92" s="3" t="inlineStr">
        <is>
          <t>UTP AREQUIPA 660- 670 - LIMA</t>
        </is>
      </c>
      <c r="U92" s="3" t="n">
        <v>7000</v>
      </c>
      <c r="V92" s="3" t="n">
        <v>6329.3</v>
      </c>
      <c r="W92" s="3" t="inlineStr">
        <is>
          <t>A</t>
        </is>
      </c>
      <c r="X92" s="4" t="n">
        <v>46082</v>
      </c>
      <c r="Y92" s="4" t="n">
        <v>46264</v>
      </c>
      <c r="Z92" s="4" t="n">
        <v>46082</v>
      </c>
      <c r="AA92" s="6" t="n"/>
      <c r="AB92" s="3" t="inlineStr">
        <is>
          <t>EJECUTADO</t>
        </is>
      </c>
      <c r="AD92" s="3" t="inlineStr">
        <is>
          <t>Seguridad</t>
        </is>
      </c>
      <c r="AE92" s="3" t="inlineStr">
        <is>
          <t>SC-0000116881-2026</t>
        </is>
      </c>
      <c r="AF92" s="7" t="n">
        <v>46063</v>
      </c>
      <c r="AG92" s="3" t="inlineStr">
        <is>
          <t>OC-0000121706-2026</t>
        </is>
      </c>
      <c r="AH92" s="7" t="n">
        <v>46076</v>
      </c>
      <c r="AI92" s="3" t="inlineStr">
        <is>
          <t>PROY1405</t>
        </is>
      </c>
      <c r="AJ92" s="3" t="inlineStr">
        <is>
          <t>UTP_Arq660-670_Sistema fotoeléctrico</t>
        </is>
      </c>
      <c r="AK92" s="7" t="n">
        <v>46055</v>
      </c>
      <c r="AL92" s="3" t="inlineStr">
        <is>
          <t>ESEVERINO</t>
        </is>
      </c>
      <c r="AM92" s="3" t="inlineStr">
        <is>
          <t>Registrado</t>
        </is>
      </c>
    </row>
    <row r="93">
      <c r="A93" s="3" t="n">
        <v>88</v>
      </c>
      <c r="B93" s="3" t="inlineStr">
        <is>
          <t>OPS_087</t>
        </is>
      </c>
      <c r="C93" s="3" t="inlineStr">
        <is>
          <t>OPS</t>
        </is>
      </c>
      <c r="D93" s="3" t="inlineStr">
        <is>
          <t xml:space="preserve">Alberto Fajardo Corpancho </t>
        </is>
      </c>
      <c r="F93" s="3" t="inlineStr">
        <is>
          <t>jfajardo@utp,edu,pe</t>
        </is>
      </c>
      <c r="G93" s="3" t="inlineStr">
        <is>
          <t>960 961 878</t>
        </is>
      </c>
      <c r="H93" s="3" t="inlineStr">
        <is>
          <t>Sistema fotoeléctrico_Natalio Sanchez</t>
        </is>
      </c>
      <c r="Q93" s="3" t="inlineStr">
        <is>
          <t>SI</t>
        </is>
      </c>
      <c r="R93" s="3" t="inlineStr">
        <is>
          <t>Corporativo - Natalio</t>
        </is>
      </c>
      <c r="S93" s="3" t="n">
        <v>10110101</v>
      </c>
      <c r="T93" s="3" t="inlineStr">
        <is>
          <t>UTP NATALIO SANCHEZ 125 -  LIMA</t>
        </is>
      </c>
      <c r="U93" s="3" t="n">
        <v>8964.799999999999</v>
      </c>
      <c r="V93" s="3" t="n">
        <v>18495.13</v>
      </c>
      <c r="W93" s="3" t="inlineStr">
        <is>
          <t>A</t>
        </is>
      </c>
      <c r="X93" s="4" t="n">
        <v>46082</v>
      </c>
      <c r="Y93" s="4" t="n">
        <v>46172</v>
      </c>
      <c r="Z93" s="4" t="n">
        <v>46082</v>
      </c>
      <c r="AA93" s="4" t="n">
        <v>46157</v>
      </c>
      <c r="AB93" s="3" t="inlineStr">
        <is>
          <t>EJECUTADO</t>
        </is>
      </c>
      <c r="AC93" s="3" t="inlineStr">
        <is>
          <t>EJECUTADO</t>
        </is>
      </c>
      <c r="AD93" s="3" t="inlineStr">
        <is>
          <t>Seguridad</t>
        </is>
      </c>
      <c r="AE93" s="3" t="inlineStr">
        <is>
          <t>SC-0000117847-2026</t>
        </is>
      </c>
      <c r="AF93" s="7" t="n">
        <v>46072</v>
      </c>
      <c r="AG93" s="3" t="inlineStr">
        <is>
          <t>OC-0000122664-2026</t>
        </is>
      </c>
      <c r="AH93" s="7" t="n">
        <v>46085</v>
      </c>
      <c r="AI93" s="3" t="inlineStr">
        <is>
          <t>PROY1406</t>
        </is>
      </c>
      <c r="AJ93" s="3" t="inlineStr">
        <is>
          <t>UTP_Nat Sanc125_Sistema fotoeléctrico</t>
        </is>
      </c>
      <c r="AK93" s="7" t="n">
        <v>46055</v>
      </c>
      <c r="AL93" s="3" t="inlineStr">
        <is>
          <t>ESEVERINO</t>
        </is>
      </c>
      <c r="AM93" s="3" t="inlineStr">
        <is>
          <t>NR ENVIADA POR SEG,</t>
        </is>
      </c>
    </row>
    <row r="94">
      <c r="A94" s="3" t="n">
        <v>89</v>
      </c>
      <c r="B94" s="3" t="inlineStr">
        <is>
          <t>OPS_088</t>
        </is>
      </c>
      <c r="C94" s="3" t="inlineStr">
        <is>
          <t>OPS</t>
        </is>
      </c>
      <c r="D94" s="3" t="inlineStr">
        <is>
          <t xml:space="preserve">Alberto Fajardo Corpancho </t>
        </is>
      </c>
      <c r="F94" s="3" t="inlineStr">
        <is>
          <t>jfajardo@utp,edu,pe</t>
        </is>
      </c>
      <c r="G94" s="3" t="inlineStr">
        <is>
          <t>960 961 878</t>
        </is>
      </c>
      <c r="H94" s="3" t="inlineStr">
        <is>
          <t>Cerco eléctrico_Torre Central</t>
        </is>
      </c>
      <c r="Q94" s="3" t="inlineStr">
        <is>
          <t>SI</t>
        </is>
      </c>
      <c r="R94" s="3" t="inlineStr">
        <is>
          <t>UTP Lima Centro</t>
        </is>
      </c>
      <c r="S94" s="3" t="n">
        <v>10110201</v>
      </c>
      <c r="T94" s="3" t="inlineStr">
        <is>
          <t>UTP PETITTHOURS 116 -  LIMA</t>
        </is>
      </c>
      <c r="U94" s="3" t="n">
        <v>38303.5</v>
      </c>
      <c r="V94" s="3" t="n">
        <v>33424.94</v>
      </c>
      <c r="W94" s="3" t="inlineStr">
        <is>
          <t>A</t>
        </is>
      </c>
      <c r="X94" s="4" t="n">
        <v>46082</v>
      </c>
      <c r="Y94" s="4" t="n">
        <v>46172</v>
      </c>
      <c r="Z94" s="4" t="n">
        <v>46082</v>
      </c>
      <c r="AA94" s="4" t="n">
        <v>46157</v>
      </c>
      <c r="AB94" s="3" t="inlineStr">
        <is>
          <t>EJECUTADO</t>
        </is>
      </c>
      <c r="AC94" s="3" t="inlineStr">
        <is>
          <t>EJECUTADO</t>
        </is>
      </c>
      <c r="AD94" s="3" t="inlineStr">
        <is>
          <t>Seguridad</t>
        </is>
      </c>
      <c r="AE94" s="3" t="inlineStr">
        <is>
          <t>SC-0000117850-2026</t>
        </is>
      </c>
      <c r="AF94" s="7" t="n">
        <v>46072</v>
      </c>
      <c r="AG94" s="3" t="inlineStr">
        <is>
          <t>OC-0000122877-2026</t>
        </is>
      </c>
      <c r="AH94" s="7" t="n">
        <v>46087</v>
      </c>
      <c r="AI94" s="3" t="inlineStr">
        <is>
          <t>PROY1407</t>
        </is>
      </c>
      <c r="AJ94" s="3" t="inlineStr">
        <is>
          <t>UTP_PTT116_Sistema fotoeléctrico</t>
        </is>
      </c>
      <c r="AK94" s="7" t="n">
        <v>46055</v>
      </c>
      <c r="AL94" s="3" t="inlineStr">
        <is>
          <t>ESEVERINO</t>
        </is>
      </c>
      <c r="AM94" s="3" t="inlineStr">
        <is>
          <t>NR ENVIADA POR SEG,</t>
        </is>
      </c>
    </row>
    <row r="95">
      <c r="A95" s="3" t="n">
        <v>90</v>
      </c>
      <c r="B95" s="3" t="inlineStr">
        <is>
          <t>OPS_089</t>
        </is>
      </c>
      <c r="C95" s="3" t="inlineStr">
        <is>
          <t>OPS</t>
        </is>
      </c>
      <c r="D95" s="3" t="inlineStr">
        <is>
          <t xml:space="preserve">Alberto Fajardo Corpancho </t>
        </is>
      </c>
      <c r="F95" s="3" t="inlineStr">
        <is>
          <t>jfajardo@utp,edu,pe</t>
        </is>
      </c>
      <c r="G95" s="3" t="inlineStr">
        <is>
          <t>960 961 878</t>
        </is>
      </c>
      <c r="H95" s="3" t="inlineStr">
        <is>
          <t>Cerco eléctrico_Torre II</t>
        </is>
      </c>
      <c r="Q95" s="3" t="inlineStr">
        <is>
          <t>SI</t>
        </is>
      </c>
      <c r="R95" s="3" t="inlineStr">
        <is>
          <t>UTP Lima Centro</t>
        </is>
      </c>
      <c r="S95" s="3" t="n">
        <v>10110204</v>
      </c>
      <c r="T95" s="3" t="inlineStr">
        <is>
          <t>UTP PETIT THOU383-385-TORRE II - LIMA</t>
        </is>
      </c>
      <c r="U95" s="3" t="n">
        <v>17047.6</v>
      </c>
      <c r="V95" s="3" t="n">
        <v>11775.98</v>
      </c>
      <c r="W95" s="3" t="inlineStr">
        <is>
          <t>A</t>
        </is>
      </c>
      <c r="X95" s="4" t="n">
        <v>46082</v>
      </c>
      <c r="Y95" s="4" t="n">
        <v>46172</v>
      </c>
      <c r="Z95" s="4" t="n">
        <v>46082</v>
      </c>
      <c r="AA95" s="4" t="n">
        <v>46172</v>
      </c>
      <c r="AB95" s="3" t="inlineStr">
        <is>
          <t>EJECUTADO</t>
        </is>
      </c>
      <c r="AC95" s="3" t="inlineStr">
        <is>
          <t>EJECUTADO</t>
        </is>
      </c>
      <c r="AD95" s="3" t="inlineStr">
        <is>
          <t>Seguridad</t>
        </is>
      </c>
      <c r="AE95" s="3" t="inlineStr">
        <is>
          <t>SC-0000117858-2026</t>
        </is>
      </c>
      <c r="AF95" s="7" t="n">
        <v>46072</v>
      </c>
      <c r="AG95" s="3" t="inlineStr">
        <is>
          <t>OC-0000122655-2026</t>
        </is>
      </c>
      <c r="AH95" s="7" t="n">
        <v>46085</v>
      </c>
      <c r="AI95" s="3" t="inlineStr">
        <is>
          <t>PROY1408</t>
        </is>
      </c>
      <c r="AJ95" s="3" t="inlineStr">
        <is>
          <t>UTP_PTT383-385_Sistema fotoeléctrico</t>
        </is>
      </c>
      <c r="AK95" s="7" t="n">
        <v>46055</v>
      </c>
      <c r="AL95" s="3" t="inlineStr">
        <is>
          <t>ESEVERINO</t>
        </is>
      </c>
      <c r="AM95" s="3" t="inlineStr">
        <is>
          <t>NR ENVIADA POR SEG,</t>
        </is>
      </c>
    </row>
    <row r="96">
      <c r="A96" s="3" t="n">
        <v>91</v>
      </c>
      <c r="B96" s="3" t="inlineStr">
        <is>
          <t>OPS_090</t>
        </is>
      </c>
      <c r="C96" s="3" t="inlineStr">
        <is>
          <t>OPS</t>
        </is>
      </c>
      <c r="D96" s="3" t="inlineStr">
        <is>
          <t xml:space="preserve">Alberto Fajardo Corpancho </t>
        </is>
      </c>
      <c r="F96" s="3" t="inlineStr">
        <is>
          <t>jfajardo@utp,edu,pe</t>
        </is>
      </c>
      <c r="G96" s="3" t="inlineStr">
        <is>
          <t>960 961 878</t>
        </is>
      </c>
      <c r="H96" s="3" t="inlineStr">
        <is>
          <t>Cerco eléctrico_Torre Tecnológica Arequipa</t>
        </is>
      </c>
      <c r="Q96" s="3" t="inlineStr">
        <is>
          <t>SI</t>
        </is>
      </c>
      <c r="R96" s="3" t="inlineStr">
        <is>
          <t>UTP Lima Centro</t>
        </is>
      </c>
      <c r="S96" s="3" t="n">
        <v>10110205</v>
      </c>
      <c r="T96" s="3" t="inlineStr">
        <is>
          <t>UTP AV, AREQUIPA 265-279 - LIMA</t>
        </is>
      </c>
      <c r="U96" s="3" t="n">
        <v>26041</v>
      </c>
      <c r="V96" s="3" t="n">
        <v>20389.8</v>
      </c>
      <c r="W96" s="3" t="inlineStr">
        <is>
          <t>A</t>
        </is>
      </c>
      <c r="X96" s="4" t="n">
        <v>46082</v>
      </c>
      <c r="Y96" s="4" t="n">
        <v>46172</v>
      </c>
      <c r="Z96" s="4" t="n">
        <v>46082</v>
      </c>
      <c r="AA96" s="4" t="n">
        <v>46172</v>
      </c>
      <c r="AB96" s="3" t="inlineStr">
        <is>
          <t>EJECUTADO</t>
        </is>
      </c>
      <c r="AC96" s="3" t="inlineStr">
        <is>
          <t>EJECUTADO</t>
        </is>
      </c>
      <c r="AD96" s="3" t="inlineStr">
        <is>
          <t>Seguridad</t>
        </is>
      </c>
      <c r="AE96" s="3" t="inlineStr">
        <is>
          <t>SC-0000117872-2026</t>
        </is>
      </c>
      <c r="AF96" s="7" t="n">
        <v>46072</v>
      </c>
      <c r="AG96" s="3" t="inlineStr">
        <is>
          <t>OC-0000122691-2026</t>
        </is>
      </c>
      <c r="AH96" s="7" t="n">
        <v>46085</v>
      </c>
      <c r="AI96" s="3" t="inlineStr">
        <is>
          <t>PROY1409</t>
        </is>
      </c>
      <c r="AJ96" s="3" t="inlineStr">
        <is>
          <t>UTP_Arq265-279_Sistema fotoeléctrico</t>
        </is>
      </c>
      <c r="AK96" s="7" t="n">
        <v>46055</v>
      </c>
      <c r="AL96" s="3" t="inlineStr">
        <is>
          <t>ESEVERINO</t>
        </is>
      </c>
      <c r="AM96" s="3" t="inlineStr">
        <is>
          <t>NR ENVIADA POR SEG,</t>
        </is>
      </c>
    </row>
    <row r="97">
      <c r="A97" s="3" t="n">
        <v>92</v>
      </c>
      <c r="B97" s="3" t="inlineStr">
        <is>
          <t>OPS_091</t>
        </is>
      </c>
      <c r="C97" s="3" t="inlineStr">
        <is>
          <t>OPS</t>
        </is>
      </c>
      <c r="D97" s="3" t="inlineStr">
        <is>
          <t>IRENE JAEN</t>
        </is>
      </c>
      <c r="H97" s="3" t="inlineStr">
        <is>
          <t>Techo Para graderia de Polideportivo</t>
        </is>
      </c>
      <c r="I97" s="3" t="inlineStr">
        <is>
          <t>Protección contra el calor extremoprevención de insolación y mejorar la experiencia de nuestros estudiantes en el uso de las canchas y eventos deportivos</t>
        </is>
      </c>
      <c r="J97" s="3" t="inlineStr">
        <is>
          <t>https://utpedupe,sharepoint,com/:f:/s/OperacionesCIX/EltkQlZGy5JAvifqNVbigy8Bs2fi2mK7KopX8G1jYEUr1Q?e=QJl6a3</t>
        </is>
      </c>
      <c r="K97" s="3" t="inlineStr">
        <is>
          <t>OK</t>
        </is>
      </c>
      <c r="L97" s="3">
        <f>SUM(M97:O97)</f>
        <v/>
      </c>
      <c r="M97" s="3" t="n">
        <v>4</v>
      </c>
      <c r="N97" s="3" t="n">
        <v>4</v>
      </c>
      <c r="O97" s="3" t="n">
        <v>4</v>
      </c>
      <c r="P97" s="3" t="inlineStr">
        <is>
          <t>OK para avaluar</t>
        </is>
      </c>
      <c r="Q97" s="3" t="inlineStr">
        <is>
          <t>SI</t>
        </is>
      </c>
      <c r="R97" s="3" t="inlineStr">
        <is>
          <t>UTP Chiclayo</t>
        </is>
      </c>
      <c r="S97" s="3" t="n">
        <v>70120201</v>
      </c>
      <c r="T97" s="3" t="inlineStr">
        <is>
          <t>UTP AV, PROGRESO CON AV, EVITAMIENTO S/N  - CHICLAYO</t>
        </is>
      </c>
      <c r="U97" s="3" t="n">
        <v>55000</v>
      </c>
      <c r="W97" s="3" t="inlineStr">
        <is>
          <t>A</t>
        </is>
      </c>
      <c r="X97" s="4" t="n">
        <v>46235</v>
      </c>
      <c r="Y97" s="4" t="n">
        <v>46356</v>
      </c>
      <c r="Z97" s="6" t="n"/>
      <c r="AA97" s="6" t="n"/>
      <c r="AB97" s="3" t="inlineStr">
        <is>
          <t>PENDIENTE</t>
        </is>
      </c>
      <c r="AD97" s="3" t="inlineStr">
        <is>
          <t>Infraestructura</t>
        </is>
      </c>
    </row>
    <row r="98">
      <c r="A98" s="3" t="n">
        <v>93</v>
      </c>
      <c r="B98" s="3" t="inlineStr">
        <is>
          <t>OPS_092</t>
        </is>
      </c>
      <c r="C98" s="3" t="inlineStr">
        <is>
          <t>OPS</t>
        </is>
      </c>
      <c r="D98" s="3" t="inlineStr">
        <is>
          <t xml:space="preserve">Elmer Raul ILLANES PAUCAR </t>
        </is>
      </c>
      <c r="F98" s="3" t="inlineStr">
        <is>
          <t>eillanes@utp,edu,pe</t>
        </is>
      </c>
      <c r="G98" s="3" t="inlineStr">
        <is>
          <t>994 690 404</t>
        </is>
      </c>
      <c r="H98" s="3" t="inlineStr">
        <is>
          <t>Tomacorrientes Hall principal</t>
        </is>
      </c>
      <c r="I98" s="3" t="inlineStr">
        <is>
          <t>Implementacion de tomacorrientes en Hall principal para reducir riesgos de accidentes y los espacios sean más atractivos para estudiantes,</t>
        </is>
      </c>
      <c r="J98" s="3" t="inlineStr">
        <is>
          <t>https://utpedupe,sharepoint,com/:f:/s/OperacionesCIX/Em9GiDa8sMRCvvwY22M06JsBhfFUuetCoxBI4uXtOME5Cg?e=VHAA2R</t>
        </is>
      </c>
      <c r="K98" s="3" t="inlineStr">
        <is>
          <t>OK</t>
        </is>
      </c>
      <c r="L98" s="3">
        <f>SUM(M98:O98)</f>
        <v/>
      </c>
      <c r="M98" s="3" t="n">
        <v>4</v>
      </c>
      <c r="N98" s="3" t="n">
        <v>2</v>
      </c>
      <c r="O98" s="3" t="n">
        <v>4</v>
      </c>
      <c r="Q98" s="3" t="inlineStr">
        <is>
          <t>SI</t>
        </is>
      </c>
      <c r="R98" s="3" t="inlineStr">
        <is>
          <t>UTP Chiclayo</t>
        </is>
      </c>
      <c r="S98" s="3" t="n">
        <v>70120201</v>
      </c>
      <c r="T98" s="3" t="inlineStr">
        <is>
          <t>UTP AV, PROGRESO CON AV, EVITAMIENTO S/N  - CHICLAYO</t>
        </is>
      </c>
      <c r="U98" s="3" t="n">
        <v>10000</v>
      </c>
      <c r="V98" s="3" t="n">
        <v>9052.83</v>
      </c>
      <c r="W98" s="3" t="inlineStr">
        <is>
          <t>A</t>
        </is>
      </c>
      <c r="X98" s="4" t="n">
        <v>46082</v>
      </c>
      <c r="Y98" s="4" t="n">
        <v>46082</v>
      </c>
      <c r="Z98" s="4" t="n">
        <v>46082</v>
      </c>
      <c r="AA98" s="4" t="n">
        <v>46111</v>
      </c>
      <c r="AB98" s="3" t="inlineStr">
        <is>
          <t>EJECUTADO</t>
        </is>
      </c>
      <c r="AC98" s="3" t="inlineStr">
        <is>
          <t>EJECUTADO</t>
        </is>
      </c>
      <c r="AD98" s="3" t="inlineStr">
        <is>
          <t>Mantenimiento</t>
        </is>
      </c>
      <c r="AE98" s="3" t="inlineStr">
        <is>
          <t>SC-0000116996-2026</t>
        </is>
      </c>
      <c r="AF98" s="7" t="n">
        <v>46064</v>
      </c>
      <c r="AG98" s="3" t="inlineStr">
        <is>
          <t>OC-0000122087-2026</t>
        </is>
      </c>
      <c r="AH98" s="7" t="n">
        <v>46079</v>
      </c>
      <c r="AI98" s="3" t="inlineStr">
        <is>
          <t>MEJ00211</t>
        </is>
      </c>
      <c r="AJ98" s="3" t="inlineStr">
        <is>
          <t>UTP_Chiclayo_Tomacorrientes Hall principal</t>
        </is>
      </c>
      <c r="AK98" s="7" t="n">
        <v>46055</v>
      </c>
      <c r="AL98" s="3" t="inlineStr">
        <is>
          <t>ESEVERINO</t>
        </is>
      </c>
      <c r="AM98" s="3" t="inlineStr">
        <is>
          <t>SC registrada por Maria Gonzales</t>
        </is>
      </c>
    </row>
    <row r="99">
      <c r="A99" s="3" t="n">
        <v>94</v>
      </c>
      <c r="B99" s="3" t="inlineStr">
        <is>
          <t>OPS_093</t>
        </is>
      </c>
      <c r="C99" s="3" t="inlineStr">
        <is>
          <t>OPS</t>
        </is>
      </c>
      <c r="D99" s="3" t="inlineStr">
        <is>
          <t xml:space="preserve">Elmer Raul ILLANES PAUCAR </t>
        </is>
      </c>
      <c r="F99" s="3" t="inlineStr">
        <is>
          <t>eillanes@utp,edu,pe</t>
        </is>
      </c>
      <c r="G99" s="3" t="inlineStr">
        <is>
          <t>994 690 404</t>
        </is>
      </c>
      <c r="H99" s="3" t="inlineStr">
        <is>
          <t>TyA  - Azotea - Cobertura y Estandarización espacios de esparcimiento para colaboradores</t>
        </is>
      </c>
      <c r="I99" s="3" t="inlineStr">
        <is>
          <t>Habilitar terraza con  elevación de parapeto implementación de cobertura e implementar mobiliario de acuerdo a estándar nacional incluyendo puntos de carga</t>
        </is>
      </c>
      <c r="J99" s="3" t="inlineStr">
        <is>
          <t>29,TyA - Azotea - Cobertura y Estandarización espacios de esparcimiento,mp4</t>
        </is>
      </c>
      <c r="K99" s="3" t="inlineStr">
        <is>
          <t>OK</t>
        </is>
      </c>
      <c r="L99" s="3">
        <f>SUM(M99:O99)</f>
        <v/>
      </c>
      <c r="M99" s="3" t="n">
        <v>4</v>
      </c>
      <c r="N99" s="3" t="n">
        <v>3</v>
      </c>
      <c r="O99" s="3" t="n">
        <v>3</v>
      </c>
      <c r="Q99" s="3" t="inlineStr">
        <is>
          <t>SI</t>
        </is>
      </c>
      <c r="R99" s="3" t="inlineStr">
        <is>
          <t>UTP Arequipa</t>
        </is>
      </c>
      <c r="S99" s="3" t="n">
        <v>70110101</v>
      </c>
      <c r="T99" s="3" t="inlineStr">
        <is>
          <t>UTP TACNA-ARICA 158-160-162 - AREQUIPA</t>
        </is>
      </c>
      <c r="U99" s="3" t="n">
        <v>400000</v>
      </c>
      <c r="W99" s="3" t="inlineStr">
        <is>
          <t>A</t>
        </is>
      </c>
      <c r="X99" s="6" t="n"/>
      <c r="Y99" s="6" t="n"/>
      <c r="Z99" s="6" t="n"/>
      <c r="AA99" s="6" t="n"/>
      <c r="AB99" s="3" t="inlineStr">
        <is>
          <t>CANCELADO</t>
        </is>
      </c>
      <c r="AD99" s="3" t="inlineStr">
        <is>
          <t>Mantenimiento</t>
        </is>
      </c>
      <c r="AI99" s="3" t="inlineStr">
        <is>
          <t>PROY1410</t>
        </is>
      </c>
      <c r="AJ99" s="3" t="inlineStr">
        <is>
          <t>UTP_Arq_Tacna y Arica 158-160-162_Habilitar terraza_esparcimiento_colaboradores</t>
        </is>
      </c>
      <c r="AK99" s="7" t="n">
        <v>46055</v>
      </c>
      <c r="AL99" s="3" t="inlineStr">
        <is>
          <t>ESEVERINO</t>
        </is>
      </c>
      <c r="AM99" s="3" t="inlineStr">
        <is>
          <t>PARA CONSULTAR CON ELIDA</t>
        </is>
      </c>
    </row>
    <row r="100">
      <c r="A100" s="3" t="n">
        <v>95</v>
      </c>
      <c r="B100" s="3" t="inlineStr">
        <is>
          <t>OPS_094</t>
        </is>
      </c>
      <c r="C100" s="3" t="inlineStr">
        <is>
          <t>OPS</t>
        </is>
      </c>
      <c r="D100" s="3" t="inlineStr">
        <is>
          <t>Eloy / Raul</t>
        </is>
      </c>
      <c r="H100" s="3" t="inlineStr">
        <is>
          <t>TyA  - Ingreso y Salida Vehicular - Cambio de sentido o sistema de puertas</t>
        </is>
      </c>
      <c r="I100" s="3" t="inlineStr">
        <is>
          <t>Puertas invaden la vía pública(veredas) la Municipalidad lo ha observado las puertas permanecen abiertas,</t>
        </is>
      </c>
      <c r="J100" s="3" t="inlineStr">
        <is>
          <t>31,TyA - Ingreso y Salida Vehicular - Cambio de sentido o sistema de puertas,mp4</t>
        </is>
      </c>
      <c r="K100" s="3" t="inlineStr">
        <is>
          <t>OK</t>
        </is>
      </c>
      <c r="L100" s="3">
        <f>SUM(M100:O100)</f>
        <v/>
      </c>
      <c r="M100" s="3" t="n">
        <v>1</v>
      </c>
      <c r="N100" s="3" t="n">
        <v>4</v>
      </c>
      <c r="O100" s="3" t="n">
        <v>4</v>
      </c>
      <c r="Q100" s="3" t="inlineStr">
        <is>
          <t>SI</t>
        </is>
      </c>
      <c r="R100" s="3" t="inlineStr">
        <is>
          <t>UTP Arequipa</t>
        </is>
      </c>
      <c r="S100" s="3" t="n">
        <v>70110101</v>
      </c>
      <c r="T100" s="3" t="inlineStr">
        <is>
          <t>UTP TACNA-ARICA 158-160-162 - AREQUIPA</t>
        </is>
      </c>
      <c r="U100" s="3" t="n">
        <v>40000</v>
      </c>
      <c r="V100" s="3" t="n">
        <v>36598.41</v>
      </c>
      <c r="W100" s="3" t="inlineStr">
        <is>
          <t>B</t>
        </is>
      </c>
      <c r="X100" s="4" t="n">
        <v>46113</v>
      </c>
      <c r="Y100" s="4" t="n">
        <v>46203</v>
      </c>
      <c r="Z100" s="4" t="n">
        <v>46113</v>
      </c>
      <c r="AA100" s="4" t="n">
        <v>46162</v>
      </c>
      <c r="AB100" s="3" t="inlineStr">
        <is>
          <t>EJECUTADO</t>
        </is>
      </c>
      <c r="AC100" s="3" t="inlineStr">
        <is>
          <t>EJECUTADO</t>
        </is>
      </c>
      <c r="AD100" s="3" t="inlineStr">
        <is>
          <t>Proyectos Ops / Mantenimiento</t>
        </is>
      </c>
      <c r="AE100" s="3" t="inlineStr">
        <is>
          <t>SC-0000116997-2026</t>
        </is>
      </c>
      <c r="AF100" s="7" t="n">
        <v>46064</v>
      </c>
      <c r="AG100" s="3" t="inlineStr">
        <is>
          <t>OC-0000125363-2026</t>
        </is>
      </c>
      <c r="AH100" s="7" t="n">
        <v>46122</v>
      </c>
      <c r="AI100" s="3" t="inlineStr">
        <is>
          <t>PROY1411</t>
        </is>
      </c>
      <c r="AJ100" s="3" t="inlineStr">
        <is>
          <t>UTP_Arq Parra 2_TyA  - Ingreso y Salida Vehicular - Cambio de sentido o sistema de puertas</t>
        </is>
      </c>
      <c r="AK100" s="7" t="n">
        <v>46055</v>
      </c>
      <c r="AL100" s="3" t="inlineStr">
        <is>
          <t>ESEVERINO</t>
        </is>
      </c>
      <c r="AM100" s="3" t="inlineStr">
        <is>
          <t>Solicitante Maria Gonzales</t>
        </is>
      </c>
    </row>
    <row r="101">
      <c r="A101" s="3" t="n">
        <v>96</v>
      </c>
      <c r="B101" s="3" t="inlineStr">
        <is>
          <t>OPS_095</t>
        </is>
      </c>
      <c r="C101" s="3" t="inlineStr">
        <is>
          <t>OPS</t>
        </is>
      </c>
      <c r="D101" s="3" t="inlineStr">
        <is>
          <t>Freddy Valderrama</t>
        </is>
      </c>
      <c r="H101" s="3" t="inlineStr">
        <is>
          <t>TyA  - Protección de ventanas externas en lab especializados</t>
        </is>
      </c>
      <c r="I101" s="3" t="inlineStr">
        <is>
          <t>Instalación de protección en inox para garantizar seguridad pero permitir el abrir y cerrar ventanas (pueden ser alarmas y sensores)</t>
        </is>
      </c>
      <c r="J101" s="3" t="inlineStr">
        <is>
          <t>26,TyA - Protección de ventanas externas en lab especializados,mp4</t>
        </is>
      </c>
      <c r="K101" s="3" t="inlineStr">
        <is>
          <t>OK</t>
        </is>
      </c>
      <c r="L101" s="3">
        <f>SUM(M101:O101)</f>
        <v/>
      </c>
      <c r="M101" s="3" t="n">
        <v>2</v>
      </c>
      <c r="N101" s="3" t="n">
        <v>2</v>
      </c>
      <c r="O101" s="3" t="n">
        <v>4</v>
      </c>
      <c r="P101" s="3" t="inlineStr">
        <is>
          <t>OK a evaluar se debe tener cuidado contratamiento de fachada</t>
        </is>
      </c>
      <c r="Q101" s="3" t="inlineStr">
        <is>
          <t>SI</t>
        </is>
      </c>
      <c r="R101" s="3" t="inlineStr">
        <is>
          <t>UTP Arequipa</t>
        </is>
      </c>
      <c r="S101" s="3" t="n">
        <v>70110101</v>
      </c>
      <c r="T101" s="3" t="inlineStr">
        <is>
          <t>UTP TACNA-ARICA 158-160-162 - AREQUIPA</t>
        </is>
      </c>
      <c r="U101" s="3" t="n">
        <v>30000</v>
      </c>
      <c r="W101" s="3" t="inlineStr">
        <is>
          <t>C</t>
        </is>
      </c>
      <c r="X101" s="4" t="n">
        <v>46235</v>
      </c>
      <c r="Y101" s="4" t="n">
        <v>46325</v>
      </c>
      <c r="Z101" s="6" t="n"/>
      <c r="AA101" s="6" t="n"/>
      <c r="AB101" s="3" t="inlineStr">
        <is>
          <t>EN PROCESO</t>
        </is>
      </c>
      <c r="AD101" s="3" t="inlineStr">
        <is>
          <t>Infraestructura</t>
        </is>
      </c>
    </row>
    <row r="102">
      <c r="A102" s="3" t="n">
        <v>97</v>
      </c>
      <c r="B102" s="3" t="inlineStr">
        <is>
          <t>OPS_096</t>
        </is>
      </c>
      <c r="C102" s="3" t="inlineStr">
        <is>
          <t>OPS</t>
        </is>
      </c>
      <c r="D102" s="3" t="inlineStr">
        <is>
          <t>Freddy Valderrama</t>
        </is>
      </c>
      <c r="H102" s="3" t="inlineStr">
        <is>
          <t>TyA  - Rampa y puerta acceso discapacitados - ruta a zona deportiva - Av, Quiroz</t>
        </is>
      </c>
      <c r="I102" s="3" t="inlineStr">
        <is>
          <t>Para evacuación de accidentados desde la zona deportiva se hace necesaria habilitación de rampa y puerta por la av, Quiroz hacia Tópico de TyA</t>
        </is>
      </c>
      <c r="J102" s="3" t="inlineStr">
        <is>
          <t>30,TyA - Rampa y puerta para discapacitados,mp4</t>
        </is>
      </c>
      <c r="K102" s="3" t="inlineStr">
        <is>
          <t>OK</t>
        </is>
      </c>
      <c r="L102" s="3">
        <f>SUM(M102:O102)</f>
        <v/>
      </c>
      <c r="M102" s="3" t="n">
        <v>4</v>
      </c>
      <c r="N102" s="3" t="n">
        <v>5</v>
      </c>
      <c r="O102" s="3" t="n">
        <v>4</v>
      </c>
      <c r="P102" s="3" t="inlineStr">
        <is>
          <t>OK a evaluar por el momento no es posible integrar la zona deportivcacon el campus</t>
        </is>
      </c>
      <c r="Q102" s="3" t="inlineStr">
        <is>
          <t>SI</t>
        </is>
      </c>
      <c r="R102" s="3" t="inlineStr">
        <is>
          <t>UTP Arequipa</t>
        </is>
      </c>
      <c r="S102" s="3" t="n">
        <v>70110101</v>
      </c>
      <c r="T102" s="3" t="inlineStr">
        <is>
          <t>UTP TACNA-ARICA 158-160-162 - AREQUIPA</t>
        </is>
      </c>
      <c r="U102" s="3" t="n">
        <v>35000</v>
      </c>
      <c r="W102" s="3" t="inlineStr">
        <is>
          <t>A</t>
        </is>
      </c>
      <c r="X102" s="4" t="n">
        <v>46235</v>
      </c>
      <c r="Y102" s="4" t="n">
        <v>46325</v>
      </c>
      <c r="Z102" s="6" t="n"/>
      <c r="AA102" s="6" t="n"/>
      <c r="AB102" s="3" t="inlineStr">
        <is>
          <t>EN PROCESO</t>
        </is>
      </c>
      <c r="AD102" s="3" t="inlineStr">
        <is>
          <t>Infraestructura</t>
        </is>
      </c>
    </row>
    <row r="103">
      <c r="A103" s="3" t="n">
        <v>99</v>
      </c>
      <c r="B103" s="3" t="inlineStr">
        <is>
          <t>OPS_097</t>
        </is>
      </c>
      <c r="C103" s="3" t="inlineStr">
        <is>
          <t>OPS</t>
        </is>
      </c>
      <c r="D103" s="3" t="inlineStr">
        <is>
          <t xml:space="preserve">Elmer Raul ILLANES PAUCAR </t>
        </is>
      </c>
      <c r="F103" s="3" t="inlineStr">
        <is>
          <t>eillanes@utp,edu,pe</t>
        </is>
      </c>
      <c r="G103" s="3" t="inlineStr">
        <is>
          <t>994 690 404</t>
        </is>
      </c>
      <c r="H103" s="3" t="inlineStr">
        <is>
          <t>TyA - 2 puntos de agua en falsa fachada</t>
        </is>
      </c>
      <c r="I103" s="3" t="inlineStr">
        <is>
          <t>Habilitación de 2 puntos de agua para regado de áreas verdes</t>
        </is>
      </c>
      <c r="J103" s="3" t="inlineStr">
        <is>
          <t>32,TyA - 2 puntos de agua en falsa fachada,mp4</t>
        </is>
      </c>
      <c r="K103" s="3" t="inlineStr">
        <is>
          <t>OK</t>
        </is>
      </c>
      <c r="L103" s="3">
        <f>SUM(M103:O103)</f>
        <v/>
      </c>
      <c r="M103" s="3" t="n">
        <v>1</v>
      </c>
      <c r="N103" s="3" t="n">
        <v>3</v>
      </c>
      <c r="O103" s="3" t="n">
        <v>4</v>
      </c>
      <c r="Q103" s="3" t="inlineStr">
        <is>
          <t>SI</t>
        </is>
      </c>
      <c r="R103" s="3" t="inlineStr">
        <is>
          <t>UTP Arequipa</t>
        </is>
      </c>
      <c r="S103" s="3" t="n">
        <v>70110101</v>
      </c>
      <c r="T103" s="3" t="inlineStr">
        <is>
          <t>UTP TACNA-ARICA 158-160-162 - AREQUIPA</t>
        </is>
      </c>
      <c r="U103" s="3" t="n">
        <v>20000</v>
      </c>
      <c r="V103" s="3" t="n">
        <v>5304.88</v>
      </c>
      <c r="W103" s="3" t="inlineStr">
        <is>
          <t>C</t>
        </is>
      </c>
      <c r="X103" s="4" t="n">
        <v>46143</v>
      </c>
      <c r="Y103" s="4" t="n">
        <v>46203</v>
      </c>
      <c r="Z103" s="4" t="n">
        <v>46132</v>
      </c>
      <c r="AA103" s="4" t="n">
        <v>46162</v>
      </c>
      <c r="AB103" s="3" t="inlineStr">
        <is>
          <t>EJECUTADO</t>
        </is>
      </c>
      <c r="AC103" s="3" t="inlineStr">
        <is>
          <t>EJECUTADO</t>
        </is>
      </c>
      <c r="AD103" s="3" t="inlineStr">
        <is>
          <t>Mantenimiento</t>
        </is>
      </c>
      <c r="AE103" s="3" t="inlineStr">
        <is>
          <t>SC-0000116998-2026</t>
        </is>
      </c>
      <c r="AF103" s="7" t="n">
        <v>46064</v>
      </c>
      <c r="AG103" s="3" t="inlineStr">
        <is>
          <t>OC-0000123545-2026</t>
        </is>
      </c>
      <c r="AH103" s="7" t="n">
        <v>46093</v>
      </c>
      <c r="AI103" s="3" t="inlineStr">
        <is>
          <t>PROY1412</t>
        </is>
      </c>
      <c r="AJ103" s="3" t="inlineStr">
        <is>
          <t>UTP_Arq Parra 2_TyA - 2 puntos de agua en falsa fachada</t>
        </is>
      </c>
      <c r="AK103" s="7" t="n">
        <v>46055</v>
      </c>
      <c r="AL103" s="3" t="inlineStr">
        <is>
          <t>ESEVERINO</t>
        </is>
      </c>
      <c r="AM103" s="3" t="inlineStr">
        <is>
          <t>SC registrada por Maria Gonzales</t>
        </is>
      </c>
    </row>
    <row r="104">
      <c r="A104" s="3" t="n">
        <v>100</v>
      </c>
      <c r="B104" s="3" t="inlineStr">
        <is>
          <t>OPS_098</t>
        </is>
      </c>
      <c r="C104" s="3" t="inlineStr">
        <is>
          <t>OPS</t>
        </is>
      </c>
      <c r="D104" s="3" t="inlineStr">
        <is>
          <t xml:space="preserve">Elmer Raul ILLANES PAUCAR </t>
        </is>
      </c>
      <c r="F104" s="3" t="inlineStr">
        <is>
          <t>eillanes@utp,edu,pe</t>
        </is>
      </c>
      <c r="G104" s="3" t="inlineStr">
        <is>
          <t>994 690 404</t>
        </is>
      </c>
      <c r="H104" s="3" t="inlineStr">
        <is>
          <t>Zona Deportiva - Enmallado cancha fulbito con olímpica o nylon según ppto</t>
        </is>
      </c>
      <c r="I104" s="3" t="inlineStr">
        <is>
          <t>Enmallado de parte lateral de cancha de fulbito</t>
        </is>
      </c>
      <c r="J104" s="3" t="inlineStr">
        <is>
          <t>33,Zona Deportiva - Enmallado cancha fulbito,mp4</t>
        </is>
      </c>
      <c r="K104" s="3" t="inlineStr">
        <is>
          <t>OK</t>
        </is>
      </c>
      <c r="L104" s="3">
        <f>SUM(M104:O104)</f>
        <v/>
      </c>
      <c r="M104" s="3" t="n">
        <v>4</v>
      </c>
      <c r="N104" s="3" t="n">
        <v>4</v>
      </c>
      <c r="O104" s="3" t="n">
        <v>4</v>
      </c>
      <c r="Q104" s="3" t="inlineStr">
        <is>
          <t>SI</t>
        </is>
      </c>
      <c r="R104" s="3" t="inlineStr">
        <is>
          <t>UTP Arequipa</t>
        </is>
      </c>
      <c r="S104" s="3" t="n">
        <v>70110101</v>
      </c>
      <c r="T104" s="3" t="inlineStr">
        <is>
          <t>UTP TACNA-ARICA 158-160-162 - AREQUIPA</t>
        </is>
      </c>
      <c r="U104" s="3" t="n">
        <v>70000</v>
      </c>
      <c r="W104" s="3" t="inlineStr">
        <is>
          <t>A</t>
        </is>
      </c>
      <c r="X104" s="4" t="n">
        <v>46174</v>
      </c>
      <c r="Y104" s="4" t="n">
        <v>46325</v>
      </c>
      <c r="Z104" s="6" t="n"/>
      <c r="AA104" s="6" t="n"/>
      <c r="AB104" s="3" t="inlineStr">
        <is>
          <t>EN PROCESO</t>
        </is>
      </c>
      <c r="AD104" s="3" t="inlineStr">
        <is>
          <t>Mantenimiento</t>
        </is>
      </c>
      <c r="AI104" s="3" t="inlineStr">
        <is>
          <t>PROY1413</t>
        </is>
      </c>
      <c r="AJ104" s="3" t="inlineStr">
        <is>
          <t>UTP_Areq Parra 2_Zona Deportiva - Enmallado cancha fulbito con olímpica o nylon según ppto</t>
        </is>
      </c>
      <c r="AK104" s="7" t="n">
        <v>46055</v>
      </c>
      <c r="AL104" s="3" t="inlineStr">
        <is>
          <t>ESEVERINO</t>
        </is>
      </c>
      <c r="AM104" s="3" t="inlineStr">
        <is>
          <t>Consultar con Raul</t>
        </is>
      </c>
      <c r="AO104" s="3" t="inlineStr">
        <is>
          <t>Cambio de dirección de proyecto</t>
        </is>
      </c>
    </row>
    <row r="105">
      <c r="A105" s="3" t="n">
        <v>98</v>
      </c>
      <c r="B105" s="3" t="inlineStr">
        <is>
          <t>OPS_099</t>
        </is>
      </c>
      <c r="C105" s="3" t="inlineStr">
        <is>
          <t>OPS</t>
        </is>
      </c>
      <c r="D105" s="3" t="inlineStr">
        <is>
          <t xml:space="preserve">Elmer Raul ILLANES PAUCAR </t>
        </is>
      </c>
      <c r="F105" s="3" t="inlineStr">
        <is>
          <t>mailto:jfajardo@utp.edu.pe</t>
        </is>
      </c>
      <c r="H105" s="3" t="inlineStr">
        <is>
          <t>Parra 2 - Estacionamientos - 02 puntos de agua</t>
        </is>
      </c>
      <c r="Q105" s="3" t="inlineStr">
        <is>
          <t>SI</t>
        </is>
      </c>
      <c r="R105" s="3" t="inlineStr">
        <is>
          <t>UTP Arequipa</t>
        </is>
      </c>
      <c r="S105" s="3" t="n">
        <v>70110107</v>
      </c>
      <c r="T105" s="3" t="inlineStr">
        <is>
          <t>UTP PARRA WASHINGT 217-219 AREQUIPA</t>
        </is>
      </c>
      <c r="U105" s="3" t="n">
        <v>13624.65</v>
      </c>
      <c r="W105" s="3" t="inlineStr">
        <is>
          <t>C</t>
        </is>
      </c>
      <c r="X105" s="4" t="n">
        <v>46174</v>
      </c>
      <c r="Y105" s="4" t="n">
        <v>46325</v>
      </c>
      <c r="Z105" s="6" t="n"/>
      <c r="AA105" s="6" t="n"/>
      <c r="AB105" s="3" t="inlineStr">
        <is>
          <t>PENDIENTE</t>
        </is>
      </c>
      <c r="AD105" s="3" t="inlineStr">
        <is>
          <t>Mantenimiento</t>
        </is>
      </c>
      <c r="AI105" s="3" t="inlineStr">
        <is>
          <t>MEJ00273</t>
        </is>
      </c>
      <c r="AJ105" s="3" t="inlineStr">
        <is>
          <t>UTP_ARQP PARRA 217_Estacionamientos_02 puntos de agua</t>
        </is>
      </c>
      <c r="AO105" s="3" t="inlineStr">
        <is>
          <t>Crear proyecto</t>
        </is>
      </c>
      <c r="AP105" s="3" t="inlineStr">
        <is>
          <t>ELOY</t>
        </is>
      </c>
    </row>
    <row r="106">
      <c r="A106" s="3" t="n">
        <v>30</v>
      </c>
      <c r="B106" s="3" t="inlineStr">
        <is>
          <t>OPS_100</t>
        </is>
      </c>
      <c r="C106" s="3" t="inlineStr">
        <is>
          <t>OPS</t>
        </is>
      </c>
      <c r="D106" s="3" t="inlineStr">
        <is>
          <t>Eloy / Raul</t>
        </is>
      </c>
      <c r="F106" s="3" t="inlineStr">
        <is>
          <t>mailto:jfajardo@utp.edu.pe</t>
        </is>
      </c>
      <c r="H106" s="3" t="inlineStr">
        <is>
          <t xml:space="preserve">Implementación de tomacorrientes para mesas de salas de estudio  en biblioteca </t>
        </is>
      </c>
      <c r="Q106" s="3" t="inlineStr">
        <is>
          <t>SI</t>
        </is>
      </c>
      <c r="R106" s="3" t="inlineStr">
        <is>
          <t>UTP Arequipa</t>
        </is>
      </c>
      <c r="S106" s="3" t="n">
        <v>70110107</v>
      </c>
      <c r="T106" s="3" t="inlineStr">
        <is>
          <t>UTP PARRA WASHINGT 217-219 AREQUIPA</t>
        </is>
      </c>
      <c r="U106" s="3" t="n">
        <v>20000</v>
      </c>
      <c r="V106" s="3" t="n">
        <v>20000</v>
      </c>
      <c r="W106" s="3" t="inlineStr">
        <is>
          <t>A</t>
        </is>
      </c>
      <c r="X106" s="4" t="n">
        <v>46174</v>
      </c>
      <c r="Y106" s="4" t="n">
        <v>46325</v>
      </c>
      <c r="Z106" s="6" t="n"/>
      <c r="AA106" s="6" t="n"/>
      <c r="AB106" s="3" t="inlineStr">
        <is>
          <t>EN PROCESO</t>
        </is>
      </c>
      <c r="AD106" s="3" t="inlineStr">
        <is>
          <t>Proyectos Ops / Mantenimiento</t>
        </is>
      </c>
      <c r="AI106" s="3" t="inlineStr">
        <is>
          <t>MEJ00274</t>
        </is>
      </c>
      <c r="AJ106" s="3" t="inlineStr">
        <is>
          <t>UTP_ARQP PARRA 217_Implement_tomacorrientes_biblioteca</t>
        </is>
      </c>
      <c r="AO106" s="3" t="inlineStr">
        <is>
          <t>Crear proyecto</t>
        </is>
      </c>
      <c r="AP106" s="3" t="inlineStr">
        <is>
          <t>ELOY</t>
        </is>
      </c>
    </row>
    <row r="107">
      <c r="A107" s="3" t="n">
        <v>269</v>
      </c>
      <c r="B107" s="3" t="inlineStr">
        <is>
          <t>OPS_101</t>
        </is>
      </c>
      <c r="C107" s="3" t="inlineStr">
        <is>
          <t>SSGG</t>
        </is>
      </c>
      <c r="D107" s="3" t="inlineStr">
        <is>
          <t>VICENTE RODRIGUEZ PASTOR</t>
        </is>
      </c>
      <c r="F107" s="3" t="inlineStr">
        <is>
          <t>mailto:jfajardo@utp.edu.pe</t>
        </is>
      </c>
      <c r="H107" s="3" t="inlineStr">
        <is>
          <t>Cambio del piso de biblioteca por el estado deteriorado</t>
        </is>
      </c>
      <c r="Q107" s="3" t="inlineStr">
        <is>
          <t>SI</t>
        </is>
      </c>
      <c r="R107" s="3" t="inlineStr">
        <is>
          <t>UTP Lima Sur</t>
        </is>
      </c>
      <c r="S107" s="3" t="n">
        <v>10220106</v>
      </c>
      <c r="T107" s="3" t="inlineStr">
        <is>
          <t>UTP EL TRIUNFO S/N-VILLA SALVA - LIMA</t>
        </is>
      </c>
      <c r="U107" s="3" t="n">
        <v>65250</v>
      </c>
      <c r="V107" s="3" t="n">
        <v>63073.36</v>
      </c>
      <c r="W107" s="3" t="inlineStr">
        <is>
          <t>A</t>
        </is>
      </c>
      <c r="X107" s="4" t="n">
        <v>46082</v>
      </c>
      <c r="Y107" s="4" t="n">
        <v>46111</v>
      </c>
      <c r="Z107" s="4" t="n">
        <v>46082</v>
      </c>
      <c r="AA107" s="4" t="n">
        <v>46111</v>
      </c>
      <c r="AB107" s="3" t="inlineStr">
        <is>
          <t>EJECUTADO</t>
        </is>
      </c>
      <c r="AC107" s="3" t="inlineStr">
        <is>
          <t>EJECUTADO</t>
        </is>
      </c>
      <c r="AD107" s="3" t="inlineStr">
        <is>
          <t>Mantenimiento</t>
        </is>
      </c>
      <c r="AI107" s="3" t="inlineStr">
        <is>
          <t>MEJ00223</t>
        </is>
      </c>
      <c r="AJ107" s="3" t="inlineStr">
        <is>
          <t>UTP_VES_PISO BIBLIOTECA_LIMA SUR</t>
        </is>
      </c>
      <c r="AK107" s="7" t="n">
        <v>46097</v>
      </c>
      <c r="AL107" s="3" t="inlineStr">
        <is>
          <t>JRUIZSE</t>
        </is>
      </c>
    </row>
    <row r="108">
      <c r="A108" s="3" t="n">
        <v>101</v>
      </c>
      <c r="B108" s="3" t="inlineStr">
        <is>
          <t>SSGG_001</t>
        </is>
      </c>
      <c r="C108" s="3" t="inlineStr">
        <is>
          <t>SSGG</t>
        </is>
      </c>
      <c r="D108" s="3" t="inlineStr">
        <is>
          <t>PEDRO GARCIA</t>
        </is>
      </c>
      <c r="H108" s="3" t="inlineStr">
        <is>
          <t>Ampliación de ingreso correr barandas reubicación de puertas punto de energía y data e incrementar 2 molinetes</t>
        </is>
      </c>
      <c r="Q108" s="3" t="inlineStr">
        <is>
          <t>SI</t>
        </is>
      </c>
      <c r="R108" s="3" t="inlineStr">
        <is>
          <t>UTP Chiclayo</t>
        </is>
      </c>
      <c r="S108" s="3" t="n">
        <v>70120201</v>
      </c>
      <c r="T108" s="3" t="inlineStr">
        <is>
          <t>UTP AV, PROGRESO CON AV, EVITAMIENTO S/N  - CHICLAYO</t>
        </is>
      </c>
      <c r="U108" s="3" t="n">
        <v>0</v>
      </c>
      <c r="W108" s="3" t="inlineStr">
        <is>
          <t>A</t>
        </is>
      </c>
      <c r="X108" s="6" t="n"/>
      <c r="Y108" s="6" t="n"/>
      <c r="Z108" s="6" t="n"/>
      <c r="AA108" s="6" t="n"/>
      <c r="AB108" s="3" t="inlineStr">
        <is>
          <t>CANCELADO</t>
        </is>
      </c>
      <c r="AD108" s="3" t="inlineStr">
        <is>
          <t>Infraestructura / Seguridad</t>
        </is>
      </c>
      <c r="AI108" s="3" t="inlineStr">
        <is>
          <t>AM001045</t>
        </is>
      </c>
      <c r="AJ108" s="3" t="inlineStr">
        <is>
          <t>UTP_Ampliación de ingreso correr barandas reubicación de puertas punto de energía y data e incrementar 2 molinetes_Chiclayo</t>
        </is>
      </c>
      <c r="AM108" s="3" t="inlineStr">
        <is>
          <t>NO SE CANCELA  SE EJECUTA CON INFRAESTRUCTURA</t>
        </is>
      </c>
      <c r="AO108" s="3" t="inlineStr">
        <is>
          <t>NO VA REVISAR CON PEDRO</t>
        </is>
      </c>
    </row>
    <row r="109">
      <c r="A109" s="3" t="n">
        <v>102</v>
      </c>
      <c r="B109" s="3" t="inlineStr">
        <is>
          <t>SSGG_002</t>
        </is>
      </c>
      <c r="C109" s="3" t="inlineStr">
        <is>
          <t>SSGG</t>
        </is>
      </c>
      <c r="D109" s="3" t="inlineStr">
        <is>
          <t>PEDRO GARCIA</t>
        </is>
      </c>
      <c r="F109" s="3" t="inlineStr">
        <is>
          <t>mailto:eillanes@utp.edu.pe</t>
        </is>
      </c>
      <c r="H109" s="3" t="inlineStr">
        <is>
          <t>Ampliación de ingreso correr barandas reubicación de puertas punto de energía y data e incrementar 2 molinetes</t>
        </is>
      </c>
      <c r="Q109" s="3" t="inlineStr">
        <is>
          <t>SI</t>
        </is>
      </c>
      <c r="R109" s="3" t="inlineStr">
        <is>
          <t>UTP Lima Sur</t>
        </is>
      </c>
      <c r="S109" s="3" t="n">
        <v>10220106</v>
      </c>
      <c r="T109" s="3" t="inlineStr">
        <is>
          <t>UTP EL TRIUNFO S/N-VILLA SALVA - LIMA</t>
        </is>
      </c>
      <c r="U109" s="3" t="n">
        <v>0</v>
      </c>
      <c r="V109" s="3" t="n">
        <v>0</v>
      </c>
      <c r="W109" s="3" t="inlineStr">
        <is>
          <t>A</t>
        </is>
      </c>
      <c r="X109" s="6" t="n"/>
      <c r="Y109" s="6" t="n"/>
      <c r="Z109" s="6" t="n"/>
      <c r="AA109" s="6" t="n"/>
      <c r="AB109" s="3" t="inlineStr">
        <is>
          <t>CANCELADO</t>
        </is>
      </c>
      <c r="AD109" s="3" t="inlineStr">
        <is>
          <t>Infraestructura / Seguridad</t>
        </is>
      </c>
      <c r="AI109" s="3" t="inlineStr">
        <is>
          <t>AM001047</t>
        </is>
      </c>
      <c r="AJ109" s="3" t="inlineStr">
        <is>
          <t>UTP_Ampliación de ingreso correr barandas reubicación de puertas punto de energía y data e incrementar 2 molinetes_Lima Sur</t>
        </is>
      </c>
      <c r="AM109" s="3" t="inlineStr">
        <is>
          <t>NO SE CANCELA  SE EJECUTA CON INFRAESTRUCTURA</t>
        </is>
      </c>
      <c r="AO109" s="3" t="inlineStr">
        <is>
          <t>NO VA REVISAR CON PEDRO</t>
        </is>
      </c>
    </row>
    <row r="110">
      <c r="A110" s="3" t="n">
        <v>103</v>
      </c>
      <c r="B110" s="3" t="inlineStr">
        <is>
          <t>SSGG_003</t>
        </is>
      </c>
      <c r="C110" s="3" t="inlineStr">
        <is>
          <t>SSGG</t>
        </is>
      </c>
      <c r="D110" s="3" t="inlineStr">
        <is>
          <t>Marco Bonifaz</t>
        </is>
      </c>
      <c r="F110" s="3" t="inlineStr">
        <is>
          <t>mailto:eillanes@utp.edu.pe</t>
        </is>
      </c>
      <c r="H110" s="3" t="inlineStr">
        <is>
          <t>Ampliación de ingreso correr barandas reubicación de puertas punto de energía y data e incrementar 2 molinetes</t>
        </is>
      </c>
      <c r="Q110" s="3" t="inlineStr">
        <is>
          <t>SI</t>
        </is>
      </c>
      <c r="R110" s="3" t="inlineStr">
        <is>
          <t>UTP Lima Norte</t>
        </is>
      </c>
      <c r="S110" s="3" t="n">
        <v>10220111</v>
      </c>
      <c r="T110" s="3" t="inlineStr">
        <is>
          <t>UTP AV,INFANTAS MZ 2E LOTE 28, URB, STA LUISA - LOS OLIVOS</t>
        </is>
      </c>
      <c r="U110" s="3" t="n">
        <v>80000</v>
      </c>
      <c r="W110" s="3" t="inlineStr">
        <is>
          <t>A</t>
        </is>
      </c>
      <c r="X110" s="4" t="n">
        <v>46174</v>
      </c>
      <c r="Y110" s="4" t="n">
        <v>46310</v>
      </c>
      <c r="Z110" s="6" t="n"/>
      <c r="AA110" s="6" t="n"/>
      <c r="AB110" s="3" t="inlineStr">
        <is>
          <t>EN PROCESO</t>
        </is>
      </c>
      <c r="AD110" s="3" t="inlineStr">
        <is>
          <t>Infraestructura / Seguridad</t>
        </is>
      </c>
      <c r="AE110" s="3" t="inlineStr">
        <is>
          <t>SC-0000119083-2026</t>
        </is>
      </c>
      <c r="AI110" s="3" t="inlineStr">
        <is>
          <t>PROY1422</t>
        </is>
      </c>
      <c r="AJ110" s="3" t="inlineStr">
        <is>
          <t>UTP_LN_AV, INFANTAS LOTE 28_SUMIN E INSTALAC_MOLINETES Y TRANQUERAS</t>
        </is>
      </c>
      <c r="AM110" s="3" t="inlineStr">
        <is>
          <t>En coordinación con Fredy V, Se cambió el # AM001046</t>
        </is>
      </c>
    </row>
    <row r="111">
      <c r="A111" s="3" t="n">
        <v>104</v>
      </c>
      <c r="B111" s="3" t="inlineStr">
        <is>
          <t>SSGG_004</t>
        </is>
      </c>
      <c r="C111" s="3" t="inlineStr">
        <is>
          <t>SSGG</t>
        </is>
      </c>
      <c r="D111" s="3" t="inlineStr">
        <is>
          <t>PEDRO GARCIA</t>
        </is>
      </c>
      <c r="H111" s="3" t="inlineStr">
        <is>
          <t>Ampliación de ingreso correr barandas reubicación de puertas punto de energía y data e incrementar 2 molinetes</t>
        </is>
      </c>
      <c r="Q111" s="3" t="inlineStr">
        <is>
          <t>SI</t>
        </is>
      </c>
      <c r="R111" s="3" t="inlineStr">
        <is>
          <t>UTP Chimbote</t>
        </is>
      </c>
      <c r="S111" s="3" t="n">
        <v>70150101</v>
      </c>
      <c r="T111" s="3" t="inlineStr">
        <is>
          <t>UTP PASERO DEL MAR MZ C9- LT2 - CHIMBOTE</t>
        </is>
      </c>
      <c r="U111" s="3" t="n">
        <v>0</v>
      </c>
      <c r="W111" s="3" t="inlineStr">
        <is>
          <t>A</t>
        </is>
      </c>
      <c r="X111" s="6" t="n"/>
      <c r="Y111" s="6" t="n"/>
      <c r="Z111" s="6" t="n"/>
      <c r="AA111" s="6" t="n"/>
      <c r="AB111" s="3" t="inlineStr">
        <is>
          <t>CANCELADO</t>
        </is>
      </c>
      <c r="AD111" s="3" t="inlineStr">
        <is>
          <t>Infraestructura / Seguridad</t>
        </is>
      </c>
      <c r="AI111" s="3" t="inlineStr">
        <is>
          <t>AM001048</t>
        </is>
      </c>
      <c r="AJ111" s="3" t="inlineStr">
        <is>
          <t>UTP_Ampliación de ingreso correr barandas reubicación de puertas punto de energía y data e incrementar 2 molinetes_Chimbote</t>
        </is>
      </c>
      <c r="AM111" s="3" t="inlineStr">
        <is>
          <t>NO SE CANCELA  SE EJECUTA CON INFRAESTRUCTURA</t>
        </is>
      </c>
      <c r="AO111" s="3" t="inlineStr">
        <is>
          <t>NO VA REVISAR CON PEDRO</t>
        </is>
      </c>
    </row>
    <row r="112">
      <c r="A112" s="3" t="n">
        <v>105</v>
      </c>
      <c r="B112" s="3" t="inlineStr">
        <is>
          <t>SSGG_005</t>
        </is>
      </c>
      <c r="C112" s="3" t="inlineStr">
        <is>
          <t>SSGG</t>
        </is>
      </c>
      <c r="D112" s="3" t="inlineStr">
        <is>
          <t>Randall Castillo/Alberto</t>
        </is>
      </c>
      <c r="H112" s="3" t="inlineStr">
        <is>
          <t>Ampliación de ingreso correr barandas reubicación de puertas punto de energía y data e incrementar 2 molinetes</t>
        </is>
      </c>
      <c r="Q112" s="3" t="inlineStr">
        <is>
          <t>SI</t>
        </is>
      </c>
      <c r="R112" s="3" t="inlineStr">
        <is>
          <t>UTP Piura</t>
        </is>
      </c>
      <c r="S112" s="3" t="n">
        <v>70170101</v>
      </c>
      <c r="T112" s="3" t="inlineStr">
        <is>
          <t>UTP AV,PANAMERICANA 234 -PIURA</t>
        </is>
      </c>
      <c r="U112" s="3" t="n">
        <v>80000</v>
      </c>
      <c r="V112" s="3" t="n">
        <v>14051.19</v>
      </c>
      <c r="W112" s="3" t="inlineStr">
        <is>
          <t>A</t>
        </is>
      </c>
      <c r="X112" s="4" t="n">
        <v>46258</v>
      </c>
      <c r="Y112" s="4" t="n">
        <v>46310</v>
      </c>
      <c r="Z112" s="4" t="n">
        <v>46082</v>
      </c>
      <c r="AA112" s="6" t="n"/>
      <c r="AB112" s="3" t="inlineStr">
        <is>
          <t>EN PROCESO</t>
        </is>
      </c>
      <c r="AD112" s="3" t="inlineStr">
        <is>
          <t>Infraestructura / Seguridad</t>
        </is>
      </c>
      <c r="AE112" s="3" t="inlineStr">
        <is>
          <t>SC-0000115120-2026 / SC-0000123163-2026</t>
        </is>
      </c>
      <c r="AF112" s="7" t="n">
        <v>46048</v>
      </c>
      <c r="AG112" s="3" t="inlineStr">
        <is>
          <t>OC-0000122724-2026 / OC-0000133815-2026</t>
        </is>
      </c>
      <c r="AH112" s="3" t="inlineStr">
        <is>
          <t>05/03 / 18/05</t>
        </is>
      </c>
      <c r="AI112" s="3" t="inlineStr">
        <is>
          <t>PROY1423</t>
        </is>
      </c>
      <c r="AJ112" s="3" t="inlineStr">
        <is>
          <t>UTP_PIURA_SUMIN E INSTALAC_MOLINETES Y TRANQUERAS</t>
        </is>
      </c>
      <c r="AM112" s="3" t="inlineStr">
        <is>
          <t>SC-0000123163-2026 complementa la iniciativa con 3 molinetes (PROY1420)</t>
        </is>
      </c>
    </row>
    <row r="113">
      <c r="A113" s="3" t="n">
        <v>106</v>
      </c>
      <c r="B113" s="3" t="inlineStr">
        <is>
          <t>SSGG_006</t>
        </is>
      </c>
      <c r="C113" s="3" t="inlineStr">
        <is>
          <t>SSGG</t>
        </is>
      </c>
      <c r="D113" s="3" t="inlineStr">
        <is>
          <t xml:space="preserve">Carlos Sanchez Pariona </t>
        </is>
      </c>
      <c r="F113" s="3" t="inlineStr">
        <is>
          <t>csanchezp@utp,edu,pe</t>
        </is>
      </c>
      <c r="G113" s="3" t="inlineStr">
        <is>
          <t>951 317 089</t>
        </is>
      </c>
      <c r="H113" s="3" t="inlineStr">
        <is>
          <t>Cambio de bombas de agua y pozo septicos Pacífico</t>
        </is>
      </c>
      <c r="Q113" s="3" t="inlineStr">
        <is>
          <t>SI</t>
        </is>
      </c>
      <c r="R113" s="3" t="inlineStr">
        <is>
          <t>UTP Lima Centro</t>
        </is>
      </c>
      <c r="S113" s="3" t="n">
        <v>10110102</v>
      </c>
      <c r="T113" s="3" t="inlineStr">
        <is>
          <t>UTP AREQUIPA 660- 670 - LIMA</t>
        </is>
      </c>
      <c r="U113" s="3" t="n">
        <v>70542.7</v>
      </c>
      <c r="V113" s="3" t="n">
        <v>70542.7</v>
      </c>
      <c r="W113" s="3" t="inlineStr">
        <is>
          <t>A</t>
        </is>
      </c>
      <c r="X113" s="4" t="n">
        <v>46174</v>
      </c>
      <c r="Y113" s="4" t="n">
        <v>46310</v>
      </c>
      <c r="Z113" s="4" t="n">
        <v>46113</v>
      </c>
      <c r="AA113" s="6" t="n"/>
      <c r="AB113" s="3" t="inlineStr">
        <is>
          <t>EN PROCESO</t>
        </is>
      </c>
      <c r="AD113" s="3" t="inlineStr">
        <is>
          <t>Mantenimiento</t>
        </is>
      </c>
      <c r="AE113" s="3" t="inlineStr">
        <is>
          <t>SC-0000116832-2026</t>
        </is>
      </c>
      <c r="AF113" s="7" t="n">
        <v>46063</v>
      </c>
      <c r="AG113" s="3" t="inlineStr">
        <is>
          <t>OC-0000129133-2026</t>
        </is>
      </c>
      <c r="AH113" s="7" t="n">
        <v>46149</v>
      </c>
      <c r="AI113" s="3" t="inlineStr">
        <is>
          <t>PROY1287</t>
        </is>
      </c>
      <c r="AJ113" s="3" t="inlineStr">
        <is>
          <t xml:space="preserve">UTP_LIMA_CENTRO_Cambio de bombas de agua y pozo septicos </t>
        </is>
      </c>
      <c r="AM113" s="3" t="inlineStr">
        <is>
          <t>Registrado</t>
        </is>
      </c>
      <c r="AO113" s="3" t="inlineStr">
        <is>
          <t>Se destina el ahorro a la iniciativa SSGG_006</t>
        </is>
      </c>
    </row>
    <row r="114">
      <c r="A114" s="3" t="n">
        <v>107</v>
      </c>
      <c r="B114" s="3" t="inlineStr">
        <is>
          <t>SSGG_007</t>
        </is>
      </c>
      <c r="C114" s="3" t="inlineStr">
        <is>
          <t>SSGG</t>
        </is>
      </c>
      <c r="D114" s="3" t="inlineStr">
        <is>
          <t xml:space="preserve">Alfredo Aurelio Matos Olarte </t>
        </is>
      </c>
      <c r="F114" s="3" t="inlineStr">
        <is>
          <t>amatos@utp,edu,pe</t>
        </is>
      </c>
      <c r="G114" s="3" t="inlineStr">
        <is>
          <t>994 690 444</t>
        </is>
      </c>
      <c r="H114" s="3" t="inlineStr">
        <is>
          <t>Cambio del sistema de conferencia y debate de la sala de audiencias</t>
        </is>
      </c>
      <c r="Q114" s="3" t="inlineStr">
        <is>
          <t>SI</t>
        </is>
      </c>
      <c r="R114" s="3" t="inlineStr">
        <is>
          <t>UTP Trujillo</t>
        </is>
      </c>
      <c r="S114" s="3" t="n">
        <v>70180103</v>
      </c>
      <c r="T114" s="3" t="inlineStr">
        <is>
          <t>UTP NICOLAS PIEROLA - TRUJILLO</t>
        </is>
      </c>
      <c r="U114" s="3" t="n">
        <v>7203.36</v>
      </c>
      <c r="V114" s="3" t="n">
        <v>7203.36</v>
      </c>
      <c r="W114" s="3" t="inlineStr">
        <is>
          <t>A</t>
        </is>
      </c>
      <c r="X114" s="4" t="n">
        <v>46082</v>
      </c>
      <c r="Y114" s="4" t="n">
        <v>46082</v>
      </c>
      <c r="Z114" s="4" t="n">
        <v>46082</v>
      </c>
      <c r="AA114" s="4" t="n">
        <v>46111</v>
      </c>
      <c r="AB114" s="3" t="inlineStr">
        <is>
          <t>EJECUTADO</t>
        </is>
      </c>
      <c r="AC114" s="3" t="inlineStr">
        <is>
          <t>EJECUTADO</t>
        </is>
      </c>
      <c r="AD114" s="3" t="inlineStr">
        <is>
          <t>Labs</t>
        </is>
      </c>
      <c r="AE114" s="3" t="inlineStr">
        <is>
          <t xml:space="preserve"> SC-0000116875-2026</t>
        </is>
      </c>
      <c r="AF114" s="7" t="n">
        <v>46063</v>
      </c>
      <c r="AG114" s="3" t="inlineStr">
        <is>
          <t>OC-0000122073-2026</t>
        </is>
      </c>
      <c r="AH114" s="7" t="n">
        <v>46079</v>
      </c>
      <c r="AI114" s="3" t="inlineStr">
        <is>
          <t>AM001049</t>
        </is>
      </c>
      <c r="AJ114" s="3" t="inlineStr">
        <is>
          <t>UTP_Cambio del sistema de conferencia y debate de la sala de audiencias_Trujillo</t>
        </is>
      </c>
      <c r="AO114" s="3" t="inlineStr">
        <is>
          <t>Se utiliza un presupuesto de 36177,55</t>
        </is>
      </c>
    </row>
    <row r="115">
      <c r="A115" s="3" t="n">
        <v>108</v>
      </c>
      <c r="B115" s="3" t="inlineStr">
        <is>
          <t>SSGG_008</t>
        </is>
      </c>
      <c r="C115" s="3" t="inlineStr">
        <is>
          <t>SSGG</t>
        </is>
      </c>
      <c r="D115" s="3" t="inlineStr">
        <is>
          <t xml:space="preserve">Alfredo Aurelio Matos Olarte </t>
        </is>
      </c>
      <c r="F115" s="3" t="inlineStr">
        <is>
          <t>amatos@utp,edu,pe</t>
        </is>
      </c>
      <c r="G115" s="3" t="inlineStr">
        <is>
          <t>994 690 444</t>
        </is>
      </c>
      <c r="H115" s="3" t="inlineStr">
        <is>
          <t>Cambio del sistema de conferencia y debate de la sala de audiencias</t>
        </is>
      </c>
      <c r="Q115" s="3" t="inlineStr">
        <is>
          <t>SI</t>
        </is>
      </c>
      <c r="R115" s="3" t="inlineStr">
        <is>
          <t>UTP Lima Sur</t>
        </is>
      </c>
      <c r="S115" s="3" t="n">
        <v>10220106</v>
      </c>
      <c r="T115" s="3" t="inlineStr">
        <is>
          <t>UTP EL TRIUNFO S/N-VILLA SALVA - LIMA</t>
        </is>
      </c>
      <c r="U115" s="3" t="n">
        <v>6849.36</v>
      </c>
      <c r="V115" s="3" t="n">
        <v>6849.36</v>
      </c>
      <c r="W115" s="3" t="inlineStr">
        <is>
          <t>A</t>
        </is>
      </c>
      <c r="X115" s="4" t="n">
        <v>46082</v>
      </c>
      <c r="Y115" s="4" t="n">
        <v>46082</v>
      </c>
      <c r="Z115" s="4" t="n">
        <v>46082</v>
      </c>
      <c r="AA115" s="4" t="n">
        <v>46111</v>
      </c>
      <c r="AB115" s="3" t="inlineStr">
        <is>
          <t>EJECUTADO</t>
        </is>
      </c>
      <c r="AC115" s="3" t="inlineStr">
        <is>
          <t>EJECUTADO</t>
        </is>
      </c>
      <c r="AD115" s="3" t="inlineStr">
        <is>
          <t>Labs</t>
        </is>
      </c>
      <c r="AE115" s="3" t="inlineStr">
        <is>
          <t>SC-0000116879-2026</t>
        </is>
      </c>
      <c r="AF115" s="7" t="n">
        <v>46063</v>
      </c>
      <c r="AG115" s="3" t="inlineStr">
        <is>
          <t>OC-0000122141-2026</t>
        </is>
      </c>
      <c r="AH115" s="7" t="n">
        <v>46080</v>
      </c>
      <c r="AI115" s="3" t="inlineStr">
        <is>
          <t>AM001050</t>
        </is>
      </c>
      <c r="AJ115" s="3" t="inlineStr">
        <is>
          <t>UTP_Cambio del sistema de conferencia y debate de la sala de audiencias_Lima Sur</t>
        </is>
      </c>
      <c r="AO115" s="3" t="inlineStr">
        <is>
          <t>Se utiliza un presupuesto de 36177,55</t>
        </is>
      </c>
    </row>
    <row r="116">
      <c r="A116" s="3" t="n">
        <v>109</v>
      </c>
      <c r="B116" s="3" t="inlineStr">
        <is>
          <t>SSGG_009</t>
        </is>
      </c>
      <c r="C116" s="3" t="inlineStr">
        <is>
          <t>SSGG</t>
        </is>
      </c>
      <c r="D116" s="3" t="inlineStr">
        <is>
          <t xml:space="preserve">Alfredo Aurelio Matos Olarte </t>
        </is>
      </c>
      <c r="F116" s="3" t="inlineStr">
        <is>
          <t>amatos@utp,edu,pe</t>
        </is>
      </c>
      <c r="G116" s="3" t="inlineStr">
        <is>
          <t>994 690 444</t>
        </is>
      </c>
      <c r="H116" s="3" t="inlineStr">
        <is>
          <t>Cambio del sistema de conferencia y debate de la sala de audiencias</t>
        </is>
      </c>
      <c r="Q116" s="3" t="inlineStr">
        <is>
          <t>SI</t>
        </is>
      </c>
      <c r="R116" s="3" t="inlineStr">
        <is>
          <t>UTP Piura</t>
        </is>
      </c>
      <c r="S116" s="3" t="n">
        <v>70170101</v>
      </c>
      <c r="T116" s="3" t="inlineStr">
        <is>
          <t>UTP AV,PANAMERICANA 234 -PIURA</t>
        </is>
      </c>
      <c r="U116" s="3" t="n">
        <v>7321.36</v>
      </c>
      <c r="V116" s="3" t="n">
        <v>7321.36</v>
      </c>
      <c r="W116" s="3" t="inlineStr">
        <is>
          <t>A</t>
        </is>
      </c>
      <c r="X116" s="4" t="n">
        <v>46082</v>
      </c>
      <c r="Y116" s="4" t="n">
        <v>46082</v>
      </c>
      <c r="Z116" s="4" t="n">
        <v>46082</v>
      </c>
      <c r="AA116" s="4" t="n">
        <v>46111</v>
      </c>
      <c r="AB116" s="3" t="inlineStr">
        <is>
          <t>EJECUTADO</t>
        </is>
      </c>
      <c r="AC116" s="3" t="inlineStr">
        <is>
          <t>EJECUTADO</t>
        </is>
      </c>
      <c r="AD116" s="3" t="inlineStr">
        <is>
          <t>Labs</t>
        </is>
      </c>
      <c r="AE116" s="3" t="inlineStr">
        <is>
          <t>SC-0000116880-2026</t>
        </is>
      </c>
      <c r="AF116" s="7" t="n">
        <v>46063</v>
      </c>
      <c r="AG116" s="3" t="inlineStr">
        <is>
          <t>OC-0000122142-2026</t>
        </is>
      </c>
      <c r="AH116" s="7" t="n">
        <v>46080</v>
      </c>
      <c r="AI116" s="3" t="inlineStr">
        <is>
          <t>AM001051</t>
        </is>
      </c>
      <c r="AJ116" s="3" t="inlineStr">
        <is>
          <t>UTP_Cambio del sistema de conferencia y debate de la sala de audiencias_Piura</t>
        </is>
      </c>
      <c r="AO116" s="3" t="inlineStr">
        <is>
          <t>Se utiliza un presupuesto de 36177,55</t>
        </is>
      </c>
    </row>
    <row r="117">
      <c r="A117" s="3" t="n">
        <v>110</v>
      </c>
      <c r="B117" s="3" t="inlineStr">
        <is>
          <t>SSGG_010</t>
        </is>
      </c>
      <c r="C117" s="3" t="inlineStr">
        <is>
          <t>SSGG</t>
        </is>
      </c>
      <c r="D117" s="3" t="inlineStr">
        <is>
          <t xml:space="preserve">Alberto Fajardo Corpancho </t>
        </is>
      </c>
      <c r="F117" s="3" t="inlineStr">
        <is>
          <t>jfajardo@utp,edu,pe</t>
        </is>
      </c>
      <c r="G117" s="3" t="inlineStr">
        <is>
          <t>960 961 878</t>
        </is>
      </c>
      <c r="H117" s="3" t="inlineStr">
        <is>
          <t>Implementación de armario de respuesta a emergencias que cuenten con el equipamiento básico para la atención de emergencias,</t>
        </is>
      </c>
      <c r="Q117" s="3" t="inlineStr">
        <is>
          <t>SI</t>
        </is>
      </c>
      <c r="R117" s="3" t="inlineStr">
        <is>
          <t>UTP Lima Norte</t>
        </is>
      </c>
      <c r="S117" s="3" t="n">
        <v>10220111</v>
      </c>
      <c r="T117" s="3" t="inlineStr">
        <is>
          <t>UTP AV,INFANTAS MZ 2E LOTE 28, URB, STA LUISA - LOS OLIVOS</t>
        </is>
      </c>
      <c r="U117" s="3" t="n">
        <v>4218.75</v>
      </c>
      <c r="V117" s="3" t="n">
        <v>3292.2</v>
      </c>
      <c r="W117" s="3" t="inlineStr">
        <is>
          <t>A</t>
        </is>
      </c>
      <c r="X117" s="4" t="n">
        <v>46082</v>
      </c>
      <c r="Y117" s="4" t="n">
        <v>46082</v>
      </c>
      <c r="Z117" s="4" t="n">
        <v>46082</v>
      </c>
      <c r="AA117" s="4" t="n">
        <v>46111</v>
      </c>
      <c r="AB117" s="3" t="inlineStr">
        <is>
          <t>EJECUTADO</t>
        </is>
      </c>
      <c r="AC117" s="3" t="inlineStr">
        <is>
          <t>EJECUTADO</t>
        </is>
      </c>
      <c r="AD117" s="3" t="inlineStr">
        <is>
          <t>Seguridad</t>
        </is>
      </c>
      <c r="AE117" s="3" t="inlineStr">
        <is>
          <t>SC-0000119015-2026</t>
        </is>
      </c>
      <c r="AF117" s="7" t="n">
        <v>46084</v>
      </c>
      <c r="AG117" s="3" t="inlineStr">
        <is>
          <t>OC-0000123332-2026</t>
        </is>
      </c>
      <c r="AH117" s="7" t="n">
        <v>46091</v>
      </c>
      <c r="AI117" s="3" t="inlineStr">
        <is>
          <t>AM001009</t>
        </is>
      </c>
      <c r="AJ117" s="3" t="inlineStr">
        <is>
          <t>UTP_Implementación de armario de respuesta a emergencias que cuenten con el equipamiento básico para la atención de emergencias_Lima Norte</t>
        </is>
      </c>
    </row>
    <row r="118">
      <c r="A118" s="3" t="n">
        <v>111</v>
      </c>
      <c r="B118" s="3" t="inlineStr">
        <is>
          <t>SSGG_011</t>
        </is>
      </c>
      <c r="C118" s="3" t="inlineStr">
        <is>
          <t>SSGG</t>
        </is>
      </c>
      <c r="D118" s="3" t="inlineStr">
        <is>
          <t xml:space="preserve">Alberto Fajardo Corpancho </t>
        </is>
      </c>
      <c r="F118" s="3" t="inlineStr">
        <is>
          <t>jfajardo@utp,edu,pe</t>
        </is>
      </c>
      <c r="G118" s="3" t="inlineStr">
        <is>
          <t>960 961 878</t>
        </is>
      </c>
      <c r="H118" s="3" t="inlineStr">
        <is>
          <t>Implementación de armario de respuesta a emergencias que cuenten con el equipamiento básico para la atención de emergencias,</t>
        </is>
      </c>
      <c r="Q118" s="3" t="inlineStr">
        <is>
          <t>SI</t>
        </is>
      </c>
      <c r="R118" s="3" t="inlineStr">
        <is>
          <t>UTP Lima Sur</t>
        </is>
      </c>
      <c r="S118" s="3" t="n">
        <v>10220106</v>
      </c>
      <c r="T118" s="3" t="inlineStr">
        <is>
          <t>UTP EL TRIUNFO S/N-VILLA SALVA - LIMA</t>
        </is>
      </c>
      <c r="U118" s="3" t="n">
        <v>4218.75</v>
      </c>
      <c r="V118" s="3" t="n">
        <v>3292.2</v>
      </c>
      <c r="W118" s="3" t="inlineStr">
        <is>
          <t>A</t>
        </is>
      </c>
      <c r="X118" s="4" t="n">
        <v>46082</v>
      </c>
      <c r="Y118" s="4" t="n">
        <v>46082</v>
      </c>
      <c r="Z118" s="4" t="n">
        <v>46082</v>
      </c>
      <c r="AA118" s="4" t="n">
        <v>46111</v>
      </c>
      <c r="AB118" s="3" t="inlineStr">
        <is>
          <t>EJECUTADO</t>
        </is>
      </c>
      <c r="AC118" s="3" t="inlineStr">
        <is>
          <t>EJECUTADO</t>
        </is>
      </c>
      <c r="AD118" s="3" t="inlineStr">
        <is>
          <t>Seguridad</t>
        </is>
      </c>
      <c r="AE118" s="3" t="inlineStr">
        <is>
          <t>SC-0000119018-2026</t>
        </is>
      </c>
      <c r="AF118" s="7" t="n">
        <v>46084</v>
      </c>
      <c r="AG118" s="3" t="inlineStr">
        <is>
          <t>OC-0000123333-2026</t>
        </is>
      </c>
      <c r="AH118" s="7" t="n">
        <v>46091</v>
      </c>
      <c r="AI118" s="3" t="inlineStr">
        <is>
          <t>AM001010</t>
        </is>
      </c>
      <c r="AJ118" s="3" t="inlineStr">
        <is>
          <t>UTP_Implementación de armario de respuesta a emergencias que cuenten con el equipamiento básico para la atención de emergencias_Lima Sur</t>
        </is>
      </c>
    </row>
    <row r="119">
      <c r="A119" s="3" t="n">
        <v>112</v>
      </c>
      <c r="B119" s="3" t="inlineStr">
        <is>
          <t>SSGG_012</t>
        </is>
      </c>
      <c r="C119" s="3" t="inlineStr">
        <is>
          <t>SSGG</t>
        </is>
      </c>
      <c r="D119" s="3" t="inlineStr">
        <is>
          <t xml:space="preserve">Alberto Fajardo Corpancho </t>
        </is>
      </c>
      <c r="F119" s="3" t="inlineStr">
        <is>
          <t>jfajardo@utp,edu,pe</t>
        </is>
      </c>
      <c r="G119" s="3" t="inlineStr">
        <is>
          <t>960 961 878</t>
        </is>
      </c>
      <c r="H119" s="3" t="inlineStr">
        <is>
          <t>Implementación de armario de respuesta a emergencias que cuenten con el equipamiento básico para la atención de emergencias,</t>
        </is>
      </c>
      <c r="Q119" s="3" t="inlineStr">
        <is>
          <t>SI</t>
        </is>
      </c>
      <c r="R119" s="3" t="inlineStr">
        <is>
          <t>UTP Lima Este</t>
        </is>
      </c>
      <c r="S119" s="3" t="n">
        <v>10220108</v>
      </c>
      <c r="T119" s="3" t="inlineStr">
        <is>
          <t>UTP N,AYLLON KM11,60 LOTE 96ATE -LIMA</t>
        </is>
      </c>
      <c r="U119" s="3" t="n">
        <v>4218.75</v>
      </c>
      <c r="V119" s="3" t="n">
        <v>3292.2</v>
      </c>
      <c r="W119" s="3" t="inlineStr">
        <is>
          <t>A</t>
        </is>
      </c>
      <c r="X119" s="4" t="n">
        <v>46082</v>
      </c>
      <c r="Y119" s="4" t="n">
        <v>46082</v>
      </c>
      <c r="Z119" s="4" t="n">
        <v>46082</v>
      </c>
      <c r="AA119" s="4" t="n">
        <v>46111</v>
      </c>
      <c r="AB119" s="3" t="inlineStr">
        <is>
          <t>EJECUTADO</t>
        </is>
      </c>
      <c r="AC119" s="3" t="inlineStr">
        <is>
          <t>EJECUTADO</t>
        </is>
      </c>
      <c r="AD119" s="3" t="inlineStr">
        <is>
          <t>Seguridad</t>
        </is>
      </c>
      <c r="AE119" s="3" t="inlineStr">
        <is>
          <t>SC-0000119019-2026</t>
        </is>
      </c>
      <c r="AF119" s="7" t="n">
        <v>46084</v>
      </c>
      <c r="AG119" s="3" t="inlineStr">
        <is>
          <t>OC-0000123336-2026</t>
        </is>
      </c>
      <c r="AH119" s="7" t="n">
        <v>46091</v>
      </c>
      <c r="AI119" s="3" t="inlineStr">
        <is>
          <t>AM001013</t>
        </is>
      </c>
      <c r="AJ119" s="3" t="inlineStr">
        <is>
          <t>UTP_Implementación de armario de respuesta a emergencias que cuenten con el equipamiento básico para la atención de emergencias_Lima Este</t>
        </is>
      </c>
    </row>
    <row r="120">
      <c r="A120" s="3" t="n">
        <v>113</v>
      </c>
      <c r="B120" s="3" t="inlineStr">
        <is>
          <t>SSGG_013</t>
        </is>
      </c>
      <c r="C120" s="3" t="inlineStr">
        <is>
          <t>SSGG</t>
        </is>
      </c>
      <c r="D120" s="3" t="inlineStr">
        <is>
          <t xml:space="preserve">Alberto Fajardo Corpancho </t>
        </is>
      </c>
      <c r="F120" s="3" t="inlineStr">
        <is>
          <t>jfajardo@utp,edu,pe</t>
        </is>
      </c>
      <c r="G120" s="3" t="inlineStr">
        <is>
          <t>960 961 878</t>
        </is>
      </c>
      <c r="H120" s="3" t="inlineStr">
        <is>
          <t>Implementación de armario de respuesta a emergencias que cuenten con el equipamiento básico para la atención de emergencias,</t>
        </is>
      </c>
      <c r="Q120" s="3" t="inlineStr">
        <is>
          <t>SI</t>
        </is>
      </c>
      <c r="R120" s="3" t="inlineStr">
        <is>
          <t>UTP SJL</t>
        </is>
      </c>
      <c r="S120" s="3" t="n">
        <v>10220110</v>
      </c>
      <c r="T120" s="3" t="inlineStr">
        <is>
          <t>UTP AV,SOL SUB LT 13B MZG SJL - LIMA</t>
        </is>
      </c>
      <c r="U120" s="3" t="n">
        <v>4218.75</v>
      </c>
      <c r="V120" s="3" t="n">
        <v>3292.2</v>
      </c>
      <c r="W120" s="3" t="inlineStr">
        <is>
          <t>A</t>
        </is>
      </c>
      <c r="X120" s="4" t="n">
        <v>46082</v>
      </c>
      <c r="Y120" s="4" t="n">
        <v>46082</v>
      </c>
      <c r="Z120" s="4" t="n">
        <v>46082</v>
      </c>
      <c r="AA120" s="4" t="n">
        <v>46111</v>
      </c>
      <c r="AB120" s="3" t="inlineStr">
        <is>
          <t>EJECUTADO</t>
        </is>
      </c>
      <c r="AC120" s="3" t="inlineStr">
        <is>
          <t>EJECUTADO</t>
        </is>
      </c>
      <c r="AD120" s="3" t="inlineStr">
        <is>
          <t>Seguridad</t>
        </is>
      </c>
      <c r="AE120" s="3" t="inlineStr">
        <is>
          <t>SC-0000119022-2026</t>
        </is>
      </c>
      <c r="AF120" s="7" t="n">
        <v>46084</v>
      </c>
      <c r="AG120" s="3" t="inlineStr">
        <is>
          <t>OC-0000123337-2026</t>
        </is>
      </c>
      <c r="AH120" s="7" t="n">
        <v>46091</v>
      </c>
      <c r="AI120" s="3" t="inlineStr">
        <is>
          <t>AM001014</t>
        </is>
      </c>
      <c r="AJ120" s="3" t="inlineStr">
        <is>
          <t>UTP_Implementación de armario de respuesta a emergencias que cuenten con el equipamiento básico para la atención de emergencias_SJL</t>
        </is>
      </c>
    </row>
    <row r="121">
      <c r="A121" s="3" t="n">
        <v>114</v>
      </c>
      <c r="B121" s="3" t="inlineStr">
        <is>
          <t>SSGG_014</t>
        </is>
      </c>
      <c r="C121" s="3" t="inlineStr">
        <is>
          <t>SSGG</t>
        </is>
      </c>
      <c r="D121" s="3" t="inlineStr">
        <is>
          <t xml:space="preserve">Alberto Fajardo Corpancho </t>
        </is>
      </c>
      <c r="F121" s="3" t="inlineStr">
        <is>
          <t>jfajardo@utp,edu,pe</t>
        </is>
      </c>
      <c r="G121" s="3" t="inlineStr">
        <is>
          <t>960 961 878</t>
        </is>
      </c>
      <c r="H121" s="3" t="inlineStr">
        <is>
          <t>Implementación de armario de respuesta a emergencias que cuenten con el equipamiento básico para la atención de emergencias,</t>
        </is>
      </c>
      <c r="Q121" s="3" t="inlineStr">
        <is>
          <t>SI</t>
        </is>
      </c>
      <c r="R121" s="3" t="inlineStr">
        <is>
          <t>UTP Ica</t>
        </is>
      </c>
      <c r="S121" s="3" t="n">
        <v>70160101</v>
      </c>
      <c r="T121" s="3" t="inlineStr">
        <is>
          <t>UTP SUB EUB-5 SAN JOSE - ICA</t>
        </is>
      </c>
      <c r="U121" s="3" t="n">
        <v>4218.75</v>
      </c>
      <c r="V121" s="3" t="n">
        <v>3292.2</v>
      </c>
      <c r="W121" s="3" t="inlineStr">
        <is>
          <t>A</t>
        </is>
      </c>
      <c r="X121" s="4" t="n">
        <v>46082</v>
      </c>
      <c r="Y121" s="4" t="n">
        <v>46172</v>
      </c>
      <c r="Z121" s="4" t="n">
        <v>46082</v>
      </c>
      <c r="AA121" s="4" t="n">
        <v>46157</v>
      </c>
      <c r="AB121" s="3" t="inlineStr">
        <is>
          <t>EJECUTADO</t>
        </is>
      </c>
      <c r="AC121" s="3" t="inlineStr">
        <is>
          <t>EJECUTADO</t>
        </is>
      </c>
      <c r="AD121" s="3" t="inlineStr">
        <is>
          <t>Seguridad</t>
        </is>
      </c>
      <c r="AE121" s="3" t="inlineStr">
        <is>
          <t>SC-0000119023-2026</t>
        </is>
      </c>
      <c r="AF121" s="7" t="n">
        <v>46084</v>
      </c>
      <c r="AG121" s="3" t="inlineStr">
        <is>
          <t>OC-0000123339-2026</t>
        </is>
      </c>
      <c r="AH121" s="7" t="n">
        <v>46091</v>
      </c>
      <c r="AI121" s="3" t="inlineStr">
        <is>
          <t>AM001016</t>
        </is>
      </c>
      <c r="AJ121" s="3" t="inlineStr">
        <is>
          <t>UTP_Implementación de armario de respuesta a emergencias que cuenten con el equipamiento básico para la atención de emergencias_Ica</t>
        </is>
      </c>
    </row>
    <row r="122">
      <c r="A122" s="3" t="n">
        <v>115</v>
      </c>
      <c r="B122" s="3" t="inlineStr">
        <is>
          <t>SSGG_015</t>
        </is>
      </c>
      <c r="C122" s="3" t="inlineStr">
        <is>
          <t>SSGG</t>
        </is>
      </c>
      <c r="D122" s="3" t="inlineStr">
        <is>
          <t xml:space="preserve">Alberto Fajardo Corpancho </t>
        </is>
      </c>
      <c r="F122" s="3" t="inlineStr">
        <is>
          <t>jfajardo@utp,edu,pe</t>
        </is>
      </c>
      <c r="G122" s="3" t="inlineStr">
        <is>
          <t>960 961 878</t>
        </is>
      </c>
      <c r="H122" s="3" t="inlineStr">
        <is>
          <t>Implementación de armario de respuesta a emergencias que cuenten con el equipamiento básico para la atención de emergencias,</t>
        </is>
      </c>
      <c r="Q122" s="3" t="inlineStr">
        <is>
          <t>SI</t>
        </is>
      </c>
      <c r="R122" s="3" t="inlineStr">
        <is>
          <t>UTP Huancayo</t>
        </is>
      </c>
      <c r="S122" s="3" t="n">
        <v>70190101</v>
      </c>
      <c r="T122" s="3" t="inlineStr">
        <is>
          <t>UTP AV,CIRCUNVALACIÓN 449 - HUANCAYO</t>
        </is>
      </c>
      <c r="U122" s="3" t="n">
        <v>4218.75</v>
      </c>
      <c r="V122" s="3" t="n">
        <v>3292.2</v>
      </c>
      <c r="W122" s="3" t="inlineStr">
        <is>
          <t>A</t>
        </is>
      </c>
      <c r="X122" s="4" t="n">
        <v>46082</v>
      </c>
      <c r="Y122" s="4" t="n">
        <v>46203</v>
      </c>
      <c r="Z122" s="4" t="n">
        <v>46082</v>
      </c>
      <c r="AA122" s="4" t="n">
        <v>46172</v>
      </c>
      <c r="AB122" s="3" t="inlineStr">
        <is>
          <t>EJECUTADO</t>
        </is>
      </c>
      <c r="AC122" s="3" t="inlineStr">
        <is>
          <t>EJECUTADO</t>
        </is>
      </c>
      <c r="AD122" s="3" t="inlineStr">
        <is>
          <t>Seguridad</t>
        </is>
      </c>
      <c r="AE122" s="3" t="inlineStr">
        <is>
          <t>SC-0000119024-2026</t>
        </is>
      </c>
      <c r="AF122" s="7" t="n">
        <v>46084</v>
      </c>
      <c r="AG122" s="3" t="inlineStr">
        <is>
          <t>OC-0000123340-2026</t>
        </is>
      </c>
      <c r="AH122" s="7" t="n">
        <v>46091</v>
      </c>
      <c r="AI122" s="3" t="inlineStr">
        <is>
          <t>AM001017</t>
        </is>
      </c>
      <c r="AJ122" s="3" t="inlineStr">
        <is>
          <t>UTP_Implementación de armario de respuesta a emergencias que cuenten con el equipamiento básico para la atención de emergencias_Huancayo</t>
        </is>
      </c>
    </row>
    <row r="123">
      <c r="A123" s="3" t="n">
        <v>116</v>
      </c>
      <c r="B123" s="3" t="inlineStr">
        <is>
          <t>SSGG_016</t>
        </is>
      </c>
      <c r="C123" s="3" t="inlineStr">
        <is>
          <t>SSGG</t>
        </is>
      </c>
      <c r="D123" s="3" t="inlineStr">
        <is>
          <t xml:space="preserve">Alberto Fajardo Corpancho </t>
        </is>
      </c>
      <c r="F123" s="3" t="inlineStr">
        <is>
          <t>jfajardo@utp,edu,pe</t>
        </is>
      </c>
      <c r="G123" s="3" t="inlineStr">
        <is>
          <t>960 961 878</t>
        </is>
      </c>
      <c r="H123" s="3" t="inlineStr">
        <is>
          <t>Implementación de armario de respuesta a emergencias que cuenten con el equipamiento básico para la atención de emergencias,</t>
        </is>
      </c>
      <c r="Q123" s="3" t="inlineStr">
        <is>
          <t>SI</t>
        </is>
      </c>
      <c r="R123" s="3" t="inlineStr">
        <is>
          <t>UTP Chiclayo</t>
        </is>
      </c>
      <c r="S123" s="3" t="n">
        <v>70120201</v>
      </c>
      <c r="T123" s="3" t="inlineStr">
        <is>
          <t>UTP AV, PROGRESO CON AV, EVITAMIENTO S/N  - CHICLAYO</t>
        </is>
      </c>
      <c r="U123" s="3" t="n">
        <v>4218.75</v>
      </c>
      <c r="V123" s="3" t="n">
        <v>3292.2</v>
      </c>
      <c r="W123" s="3" t="inlineStr">
        <is>
          <t>A</t>
        </is>
      </c>
      <c r="X123" s="4" t="n">
        <v>46082</v>
      </c>
      <c r="Y123" s="4" t="n">
        <v>46172</v>
      </c>
      <c r="Z123" s="4" t="n">
        <v>46082</v>
      </c>
      <c r="AA123" s="4" t="n">
        <v>46157</v>
      </c>
      <c r="AB123" s="3" t="inlineStr">
        <is>
          <t>EJECUTADO</t>
        </is>
      </c>
      <c r="AC123" s="3" t="inlineStr">
        <is>
          <t>EJECUTADO</t>
        </is>
      </c>
      <c r="AD123" s="3" t="inlineStr">
        <is>
          <t>Seguridad</t>
        </is>
      </c>
      <c r="AE123" s="3" t="inlineStr">
        <is>
          <t>SC-0000119025-2026</t>
        </is>
      </c>
      <c r="AF123" s="7" t="n">
        <v>46084</v>
      </c>
      <c r="AG123" s="3" t="inlineStr">
        <is>
          <t>OC-0000123341-2026</t>
        </is>
      </c>
      <c r="AH123" s="7" t="n">
        <v>46091</v>
      </c>
      <c r="AI123" s="3" t="inlineStr">
        <is>
          <t>AM001018</t>
        </is>
      </c>
      <c r="AJ123" s="3" t="inlineStr">
        <is>
          <t>UTP_Implementación de armario de respuesta a emergencias que cuenten con el equipamiento básico para la atención de emergencias_Chiclayo</t>
        </is>
      </c>
    </row>
    <row r="124">
      <c r="A124" s="3" t="n">
        <v>117</v>
      </c>
      <c r="B124" s="3" t="inlineStr">
        <is>
          <t>SSGG_017</t>
        </is>
      </c>
      <c r="C124" s="3" t="inlineStr">
        <is>
          <t>SSGG</t>
        </is>
      </c>
      <c r="D124" s="3" t="inlineStr">
        <is>
          <t xml:space="preserve">Alberto Fajardo Corpancho </t>
        </is>
      </c>
      <c r="F124" s="3" t="inlineStr">
        <is>
          <t>jfajardo@utp,edu,pe</t>
        </is>
      </c>
      <c r="G124" s="3" t="inlineStr">
        <is>
          <t>960 961 878</t>
        </is>
      </c>
      <c r="H124" s="3" t="inlineStr">
        <is>
          <t>Implementación de armario de respuesta a emergencias que cuenten con el equipamiento básico para la atención de emergencias,</t>
        </is>
      </c>
      <c r="Q124" s="3" t="inlineStr">
        <is>
          <t>SI</t>
        </is>
      </c>
      <c r="R124" s="3" t="inlineStr">
        <is>
          <t>UTP Piura</t>
        </is>
      </c>
      <c r="S124" s="3" t="n">
        <v>70170101</v>
      </c>
      <c r="T124" s="3" t="inlineStr">
        <is>
          <t>UTP AV,PANAMERICANA 234 -PIURA</t>
        </is>
      </c>
      <c r="U124" s="3" t="n">
        <v>4218.75</v>
      </c>
      <c r="V124" s="3" t="n">
        <v>3292.2</v>
      </c>
      <c r="W124" s="3" t="inlineStr">
        <is>
          <t>A</t>
        </is>
      </c>
      <c r="X124" s="4" t="n">
        <v>46082</v>
      </c>
      <c r="Y124" s="4" t="n">
        <v>46172</v>
      </c>
      <c r="Z124" s="4" t="n">
        <v>46082</v>
      </c>
      <c r="AA124" s="4" t="n">
        <v>46157</v>
      </c>
      <c r="AB124" s="3" t="inlineStr">
        <is>
          <t>EJECUTADO</t>
        </is>
      </c>
      <c r="AC124" s="3" t="inlineStr">
        <is>
          <t>EJECUTADO</t>
        </is>
      </c>
      <c r="AD124" s="3" t="inlineStr">
        <is>
          <t>Seguridad</t>
        </is>
      </c>
      <c r="AE124" s="3" t="inlineStr">
        <is>
          <t>SC-0000119026-2026</t>
        </is>
      </c>
      <c r="AF124" s="7" t="n">
        <v>46084</v>
      </c>
      <c r="AG124" s="3" t="inlineStr">
        <is>
          <t>OC-0000123342-2026</t>
        </is>
      </c>
      <c r="AH124" s="7" t="n">
        <v>46091</v>
      </c>
      <c r="AI124" s="3" t="inlineStr">
        <is>
          <t>AM001019</t>
        </is>
      </c>
      <c r="AJ124" s="3" t="inlineStr">
        <is>
          <t>UTP_Implementación de armario de respuesta a emergencias que cuenten con el equipamiento básico para la atención de emergencias_Piura</t>
        </is>
      </c>
    </row>
    <row r="125">
      <c r="A125" s="3" t="n">
        <v>118</v>
      </c>
      <c r="B125" s="3" t="inlineStr">
        <is>
          <t>SSGG_018</t>
        </is>
      </c>
      <c r="C125" s="3" t="inlineStr">
        <is>
          <t>SSGG</t>
        </is>
      </c>
      <c r="D125" s="3" t="inlineStr">
        <is>
          <t xml:space="preserve">Alberto Fajardo Corpancho </t>
        </is>
      </c>
      <c r="F125" s="3" t="inlineStr">
        <is>
          <t>jfajardo@utp,edu,pe</t>
        </is>
      </c>
      <c r="G125" s="3" t="inlineStr">
        <is>
          <t>960 961 878</t>
        </is>
      </c>
      <c r="H125" s="3" t="inlineStr">
        <is>
          <t>Implementación de armario de respuesta a emergencias que cuenten con el equipamiento básico para la atención de emergencias,</t>
        </is>
      </c>
      <c r="Q125" s="3" t="inlineStr">
        <is>
          <t>SI</t>
        </is>
      </c>
      <c r="R125" s="3" t="inlineStr">
        <is>
          <t>UTP Trujillo</t>
        </is>
      </c>
      <c r="S125" s="3" t="n">
        <v>70180103</v>
      </c>
      <c r="T125" s="3" t="inlineStr">
        <is>
          <t>UTP NICOLAS PIEROLA - TRUJILLO</t>
        </is>
      </c>
      <c r="U125" s="3" t="n">
        <v>4218.75</v>
      </c>
      <c r="V125" s="3" t="n">
        <v>3292.2</v>
      </c>
      <c r="W125" s="3" t="inlineStr">
        <is>
          <t>A</t>
        </is>
      </c>
      <c r="X125" s="4" t="n">
        <v>46082</v>
      </c>
      <c r="Y125" s="4" t="n">
        <v>46172</v>
      </c>
      <c r="Z125" s="4" t="n">
        <v>46082</v>
      </c>
      <c r="AA125" s="4" t="n">
        <v>46157</v>
      </c>
      <c r="AB125" s="3" t="inlineStr">
        <is>
          <t>EJECUTADO</t>
        </is>
      </c>
      <c r="AC125" s="3" t="inlineStr">
        <is>
          <t>EJECUTADO</t>
        </is>
      </c>
      <c r="AD125" s="3" t="inlineStr">
        <is>
          <t>Seguridad</t>
        </is>
      </c>
      <c r="AE125" s="3" t="inlineStr">
        <is>
          <t>SC-0000119027-2026</t>
        </is>
      </c>
      <c r="AF125" s="7" t="n">
        <v>46084</v>
      </c>
      <c r="AG125" s="3" t="inlineStr">
        <is>
          <t>OC-0000123343-2026</t>
        </is>
      </c>
      <c r="AH125" s="7" t="n">
        <v>46091</v>
      </c>
      <c r="AI125" s="3" t="inlineStr">
        <is>
          <t>AM001020</t>
        </is>
      </c>
      <c r="AJ125" s="3" t="inlineStr">
        <is>
          <t>UTP_Implementación de armario de respuesta a emergencias que cuenten con el equipamiento básico para la atención de emergencias_Trujillo</t>
        </is>
      </c>
    </row>
    <row r="126">
      <c r="A126" s="3" t="n">
        <v>119</v>
      </c>
      <c r="B126" s="3" t="inlineStr">
        <is>
          <t>SSGG_019</t>
        </is>
      </c>
      <c r="C126" s="3" t="inlineStr">
        <is>
          <t>SSGG</t>
        </is>
      </c>
      <c r="D126" s="3" t="inlineStr">
        <is>
          <t xml:space="preserve">Alberto Fajardo Corpancho </t>
        </is>
      </c>
      <c r="F126" s="3" t="inlineStr">
        <is>
          <t>jfajardo@utp,edu,pe</t>
        </is>
      </c>
      <c r="G126" s="3" t="inlineStr">
        <is>
          <t>960 961 878</t>
        </is>
      </c>
      <c r="H126" s="3" t="inlineStr">
        <is>
          <t>Implementación de armario de respuesta a emergencias que cuenten con el equipamiento básico para la atención de emergencias,</t>
        </is>
      </c>
      <c r="Q126" s="3" t="inlineStr">
        <is>
          <t>SI</t>
        </is>
      </c>
      <c r="R126" s="3" t="inlineStr">
        <is>
          <t>UTP Chimbote</t>
        </is>
      </c>
      <c r="S126" s="3" t="n">
        <v>70150101</v>
      </c>
      <c r="T126" s="3" t="inlineStr">
        <is>
          <t>UTP PASERO DEL MAR MZ C9- LT2 - CHIMBOTE</t>
        </is>
      </c>
      <c r="U126" s="3" t="n">
        <v>4218.75</v>
      </c>
      <c r="V126" s="3" t="n">
        <v>3292.2</v>
      </c>
      <c r="W126" s="3" t="inlineStr">
        <is>
          <t>A</t>
        </is>
      </c>
      <c r="X126" s="4" t="n">
        <v>46082</v>
      </c>
      <c r="Y126" s="4" t="n">
        <v>46172</v>
      </c>
      <c r="Z126" s="4" t="n">
        <v>46082</v>
      </c>
      <c r="AA126" s="4" t="n">
        <v>46172</v>
      </c>
      <c r="AB126" s="3" t="inlineStr">
        <is>
          <t>EJECUTADO</t>
        </is>
      </c>
      <c r="AC126" s="3" t="inlineStr">
        <is>
          <t>EJECUTADO</t>
        </is>
      </c>
      <c r="AD126" s="3" t="inlineStr">
        <is>
          <t>Seguridad</t>
        </is>
      </c>
      <c r="AE126" s="3" t="inlineStr">
        <is>
          <t>SC-0000119029-2026</t>
        </is>
      </c>
      <c r="AF126" s="7" t="n">
        <v>46084</v>
      </c>
      <c r="AG126" s="3" t="inlineStr">
        <is>
          <t>OC-0000123344-2026</t>
        </is>
      </c>
      <c r="AH126" s="7" t="n">
        <v>46091</v>
      </c>
      <c r="AI126" s="3" t="inlineStr">
        <is>
          <t>AM001021</t>
        </is>
      </c>
      <c r="AJ126" s="3" t="inlineStr">
        <is>
          <t>UTP_Implementación de armario de respuesta a emergencias que cuenten con el equipamiento básico para la atención de emergencias_Chimbote</t>
        </is>
      </c>
    </row>
    <row r="127">
      <c r="A127" s="3" t="n">
        <v>120</v>
      </c>
      <c r="B127" s="3" t="inlineStr">
        <is>
          <t>SSGG_020</t>
        </is>
      </c>
      <c r="C127" s="3" t="inlineStr">
        <is>
          <t>SSGG</t>
        </is>
      </c>
      <c r="D127" s="3" t="inlineStr">
        <is>
          <t xml:space="preserve">Alberto Fajardo Corpancho </t>
        </is>
      </c>
      <c r="F127" s="3" t="inlineStr">
        <is>
          <t>jfajardo@utp,edu,pe</t>
        </is>
      </c>
      <c r="G127" s="3" t="inlineStr">
        <is>
          <t>960 961 878</t>
        </is>
      </c>
      <c r="H127" s="3" t="inlineStr">
        <is>
          <t>Implementación de armario de respuesta a emergencias que cuenten con el equipamiento básico para la atención de emergencias,</t>
        </is>
      </c>
      <c r="Q127" s="3" t="inlineStr">
        <is>
          <t>SI</t>
        </is>
      </c>
      <c r="R127" s="3" t="inlineStr">
        <is>
          <t>UTP Iquitos</t>
        </is>
      </c>
      <c r="S127" s="3" t="n">
        <v>70230101</v>
      </c>
      <c r="T127" s="3" t="inlineStr">
        <is>
          <t>UTP AV, ABELARDO QUIÑONES 2371 - IQUITOS</t>
        </is>
      </c>
      <c r="U127" s="3" t="n">
        <v>4218.75</v>
      </c>
      <c r="V127" s="3" t="n">
        <v>3292.2</v>
      </c>
      <c r="W127" s="3" t="inlineStr">
        <is>
          <t>A</t>
        </is>
      </c>
      <c r="X127" s="4" t="n">
        <v>46082</v>
      </c>
      <c r="Y127" s="4" t="n">
        <v>46203</v>
      </c>
      <c r="Z127" s="4" t="n">
        <v>46082</v>
      </c>
      <c r="AA127" s="4" t="n">
        <v>46167</v>
      </c>
      <c r="AB127" s="3" t="inlineStr">
        <is>
          <t>EJECUTADO</t>
        </is>
      </c>
      <c r="AC127" s="3" t="inlineStr">
        <is>
          <t>EJECUTADO</t>
        </is>
      </c>
      <c r="AD127" s="3" t="inlineStr">
        <is>
          <t>Seguridad</t>
        </is>
      </c>
      <c r="AE127" s="3" t="inlineStr">
        <is>
          <t>SC-0000119032-2026</t>
        </is>
      </c>
      <c r="AF127" s="7" t="n">
        <v>46084</v>
      </c>
      <c r="AG127" s="3" t="inlineStr">
        <is>
          <t>OC-0000123345-2026</t>
        </is>
      </c>
      <c r="AH127" s="7" t="n">
        <v>46091</v>
      </c>
      <c r="AI127" s="3" t="inlineStr">
        <is>
          <t>AM001022</t>
        </is>
      </c>
      <c r="AJ127" s="3" t="inlineStr">
        <is>
          <t>UTP_Implementación de armario de respuesta a emergencias que cuenten con el equipamiento básico para la atención de emergencias_Iquitos</t>
        </is>
      </c>
    </row>
    <row r="128">
      <c r="A128" s="3" t="n">
        <v>121</v>
      </c>
      <c r="B128" s="3" t="inlineStr">
        <is>
          <t>SSGG_021</t>
        </is>
      </c>
      <c r="C128" s="3" t="inlineStr">
        <is>
          <t>SSGG</t>
        </is>
      </c>
      <c r="D128" s="3" t="inlineStr">
        <is>
          <t xml:space="preserve">Alberto Fajardo Corpancho </t>
        </is>
      </c>
      <c r="F128" s="3" t="inlineStr">
        <is>
          <t>jfajardo@utp,edu,pe</t>
        </is>
      </c>
      <c r="G128" s="3" t="inlineStr">
        <is>
          <t>960 961 878</t>
        </is>
      </c>
      <c r="H128" s="3" t="inlineStr">
        <is>
          <t>Implementación de armario de respuesta a emergencias que cuenten con el equipamiento básico para la atención de emergencias,</t>
        </is>
      </c>
      <c r="Q128" s="3" t="inlineStr">
        <is>
          <t>SI</t>
        </is>
      </c>
      <c r="R128" s="3" t="inlineStr">
        <is>
          <t>UTP Pucallpa</t>
        </is>
      </c>
      <c r="S128" s="3" t="n">
        <v>70220101</v>
      </c>
      <c r="T128" s="3" t="inlineStr">
        <is>
          <t>UTP AV, CENTENARIO - PUCALLPA</t>
        </is>
      </c>
      <c r="U128" s="3" t="n">
        <v>4218.75</v>
      </c>
      <c r="V128" s="3" t="n">
        <v>3292.2</v>
      </c>
      <c r="W128" s="3" t="inlineStr">
        <is>
          <t>A</t>
        </is>
      </c>
      <c r="X128" s="4" t="n">
        <v>46082</v>
      </c>
      <c r="Y128" s="4" t="n">
        <v>46172</v>
      </c>
      <c r="Z128" s="4" t="n">
        <v>46082</v>
      </c>
      <c r="AA128" s="4" t="n">
        <v>46157</v>
      </c>
      <c r="AB128" s="3" t="inlineStr">
        <is>
          <t>EJECUTADO</t>
        </is>
      </c>
      <c r="AC128" s="3" t="inlineStr">
        <is>
          <t>EJECUTADO</t>
        </is>
      </c>
      <c r="AD128" s="3" t="inlineStr">
        <is>
          <t>Seguridad</t>
        </is>
      </c>
      <c r="AE128" s="3" t="inlineStr">
        <is>
          <t>SC-0000119034-2026</t>
        </is>
      </c>
      <c r="AF128" s="7" t="n">
        <v>46084</v>
      </c>
      <c r="AG128" s="3" t="inlineStr">
        <is>
          <t>OC-0000123346-2026</t>
        </is>
      </c>
      <c r="AH128" s="7" t="n">
        <v>46091</v>
      </c>
      <c r="AI128" s="3" t="inlineStr">
        <is>
          <t>AM001023</t>
        </is>
      </c>
      <c r="AJ128" s="3" t="inlineStr">
        <is>
          <t>UTP_Implementación de armario de respuesta a emergencias que cuenten con el equipamiento básico para la atención de emergencias_Pucallpa</t>
        </is>
      </c>
    </row>
    <row r="129">
      <c r="A129" s="3" t="n">
        <v>122</v>
      </c>
      <c r="B129" s="3" t="inlineStr">
        <is>
          <t>SSGG_022</t>
        </is>
      </c>
      <c r="C129" s="3" t="inlineStr">
        <is>
          <t>SSGG</t>
        </is>
      </c>
      <c r="D129" s="3" t="inlineStr">
        <is>
          <t xml:space="preserve">Alberto Fajardo Corpancho </t>
        </is>
      </c>
      <c r="F129" s="3" t="inlineStr">
        <is>
          <t>jfajardo@utp,edu,pe</t>
        </is>
      </c>
      <c r="G129" s="3" t="inlineStr">
        <is>
          <t>960 961 878</t>
        </is>
      </c>
      <c r="H129" s="3" t="inlineStr">
        <is>
          <t>Implementación de armario de respuesta a emergencias que cuenten con el equipamiento básico para la atención de emergencias,</t>
        </is>
      </c>
      <c r="Q129" s="3" t="inlineStr">
        <is>
          <t>SI</t>
        </is>
      </c>
      <c r="R129" s="3" t="inlineStr">
        <is>
          <t>UTP Tacna</t>
        </is>
      </c>
      <c r="S129" s="3" t="n">
        <v>70200101</v>
      </c>
      <c r="T129" s="3" t="inlineStr">
        <is>
          <t>UTP AV, BILLINGHURTS 800 - TACNA</t>
        </is>
      </c>
      <c r="U129" s="3" t="n">
        <v>4218.75</v>
      </c>
      <c r="V129" s="3" t="n">
        <v>3292.2</v>
      </c>
      <c r="W129" s="3" t="inlineStr">
        <is>
          <t>A</t>
        </is>
      </c>
      <c r="X129" s="4" t="n">
        <v>46082</v>
      </c>
      <c r="Y129" s="4" t="n">
        <v>46172</v>
      </c>
      <c r="Z129" s="4" t="n">
        <v>46082</v>
      </c>
      <c r="AA129" s="4" t="n">
        <v>46157</v>
      </c>
      <c r="AB129" s="3" t="inlineStr">
        <is>
          <t>EJECUTADO</t>
        </is>
      </c>
      <c r="AC129" s="3" t="inlineStr">
        <is>
          <t>EJECUTADO</t>
        </is>
      </c>
      <c r="AD129" s="3" t="inlineStr">
        <is>
          <t>Seguridad</t>
        </is>
      </c>
      <c r="AE129" s="3" t="inlineStr">
        <is>
          <t>SC-0000119035-2026</t>
        </is>
      </c>
      <c r="AF129" s="7" t="n">
        <v>46084</v>
      </c>
      <c r="AG129" s="3" t="inlineStr">
        <is>
          <t>OC-0000123347-2026</t>
        </is>
      </c>
      <c r="AH129" s="7" t="n">
        <v>46091</v>
      </c>
      <c r="AI129" s="3" t="inlineStr">
        <is>
          <t>AM001024</t>
        </is>
      </c>
      <c r="AJ129" s="3" t="inlineStr">
        <is>
          <t>UTP_Implementación de armario de respuesta a emergencias que cuenten con el equipamiento básico para la atención de emergencias_Tacna</t>
        </is>
      </c>
    </row>
    <row r="130">
      <c r="A130" s="3" t="n">
        <v>123</v>
      </c>
      <c r="B130" s="3" t="inlineStr">
        <is>
          <t>SSGG_023</t>
        </is>
      </c>
      <c r="C130" s="3" t="inlineStr">
        <is>
          <t>SSGG</t>
        </is>
      </c>
      <c r="D130" s="3" t="inlineStr">
        <is>
          <t xml:space="preserve">Alberto Fajardo Corpancho </t>
        </is>
      </c>
      <c r="F130" s="3" t="inlineStr">
        <is>
          <t>jfajardo@utp,edu,pe</t>
        </is>
      </c>
      <c r="G130" s="3" t="inlineStr">
        <is>
          <t>960 961 878</t>
        </is>
      </c>
      <c r="H130" s="3" t="inlineStr">
        <is>
          <t>Implementación de armario de respuesta a emergencias que cuenten con el equipamiento básico para la atención de emergencias, LC TTA</t>
        </is>
      </c>
      <c r="Q130" s="3" t="inlineStr">
        <is>
          <t>SI</t>
        </is>
      </c>
      <c r="R130" s="3" t="inlineStr">
        <is>
          <t>UTP Lima Centro</t>
        </is>
      </c>
      <c r="S130" s="3" t="n">
        <v>10110205</v>
      </c>
      <c r="T130" s="3" t="inlineStr">
        <is>
          <t>UTP AV, AREQUIPA 265-279 - LIMA</t>
        </is>
      </c>
      <c r="U130" s="3" t="n">
        <v>4218.75</v>
      </c>
      <c r="V130" s="3" t="n">
        <v>3292.2</v>
      </c>
      <c r="W130" s="3" t="inlineStr">
        <is>
          <t>A</t>
        </is>
      </c>
      <c r="X130" s="4" t="n">
        <v>46082</v>
      </c>
      <c r="Y130" s="4" t="n">
        <v>46082</v>
      </c>
      <c r="Z130" s="4" t="n">
        <v>46082</v>
      </c>
      <c r="AA130" s="4" t="n">
        <v>46172</v>
      </c>
      <c r="AB130" s="3" t="inlineStr">
        <is>
          <t>EJECUTADO</t>
        </is>
      </c>
      <c r="AC130" s="3" t="inlineStr">
        <is>
          <t>EJECUTADO</t>
        </is>
      </c>
      <c r="AD130" s="3" t="inlineStr">
        <is>
          <t>Seguridad</t>
        </is>
      </c>
      <c r="AE130" s="3" t="inlineStr">
        <is>
          <t>SC-0000119036-2026</t>
        </is>
      </c>
      <c r="AF130" s="7" t="n">
        <v>46084</v>
      </c>
      <c r="AG130" s="3" t="inlineStr">
        <is>
          <t>OC-0000123335-2026</t>
        </is>
      </c>
      <c r="AH130" s="7" t="n">
        <v>46091</v>
      </c>
      <c r="AI130" s="3" t="inlineStr">
        <is>
          <t>AM001012</t>
        </is>
      </c>
      <c r="AJ130" s="3" t="inlineStr">
        <is>
          <t>UTP_Implementación de armario de respuesta a emergencias que cuenten con el equipamiento básico para la atención de emergencias_LC Torre Arequipa</t>
        </is>
      </c>
    </row>
    <row r="131">
      <c r="A131" s="3" t="n">
        <v>124</v>
      </c>
      <c r="B131" s="3" t="inlineStr">
        <is>
          <t>SSGG_024</t>
        </is>
      </c>
      <c r="C131" s="3" t="inlineStr">
        <is>
          <t>SSGG</t>
        </is>
      </c>
      <c r="D131" s="3" t="inlineStr">
        <is>
          <t xml:space="preserve">Alberto Fajardo Corpancho </t>
        </is>
      </c>
      <c r="F131" s="3" t="inlineStr">
        <is>
          <t>jfajardo@utp,edu,pe</t>
        </is>
      </c>
      <c r="G131" s="3" t="inlineStr">
        <is>
          <t>960 961 878</t>
        </is>
      </c>
      <c r="H131" s="3" t="inlineStr">
        <is>
          <t>Implementación de armario de respuesta a emergencias que cuenten con el equipamiento básico para la atención de emergencias, Quiroz</t>
        </is>
      </c>
      <c r="Q131" s="3" t="inlineStr">
        <is>
          <t>SI</t>
        </is>
      </c>
      <c r="R131" s="3" t="inlineStr">
        <is>
          <t>UTP Arequipa</t>
        </is>
      </c>
      <c r="S131" s="3" t="n">
        <v>70110101</v>
      </c>
      <c r="T131" s="3" t="inlineStr">
        <is>
          <t>UTP TACNA-ARICA 158-160-162 - AREQUIPA</t>
        </is>
      </c>
      <c r="U131" s="3" t="n">
        <v>4218.75</v>
      </c>
      <c r="V131" s="3" t="n">
        <v>3292.2</v>
      </c>
      <c r="W131" s="3" t="inlineStr">
        <is>
          <t>A</t>
        </is>
      </c>
      <c r="X131" s="4" t="n">
        <v>46082</v>
      </c>
      <c r="Y131" s="4" t="n">
        <v>46172</v>
      </c>
      <c r="Z131" s="4" t="n">
        <v>46082</v>
      </c>
      <c r="AA131" s="4" t="n">
        <v>46157</v>
      </c>
      <c r="AB131" s="3" t="inlineStr">
        <is>
          <t>EJECUTADO</t>
        </is>
      </c>
      <c r="AC131" s="3" t="inlineStr">
        <is>
          <t>EJECUTADO</t>
        </is>
      </c>
      <c r="AD131" s="3" t="inlineStr">
        <is>
          <t>Seguridad</t>
        </is>
      </c>
      <c r="AE131" s="3" t="inlineStr">
        <is>
          <t>SC-0000119037-2026</t>
        </is>
      </c>
      <c r="AF131" s="7" t="n">
        <v>46084</v>
      </c>
      <c r="AG131" s="3" t="inlineStr">
        <is>
          <t>OC-0000123338-2026</t>
        </is>
      </c>
      <c r="AH131" s="7" t="n">
        <v>46091</v>
      </c>
      <c r="AI131" s="3" t="inlineStr">
        <is>
          <t>AM001015</t>
        </is>
      </c>
      <c r="AJ131" s="3" t="inlineStr">
        <is>
          <t>UTP_Implementación de armario de respuesta a emergencias que cuenten con el equipamiento básico para la atención de emergencias_LC Torre Arequipa</t>
        </is>
      </c>
    </row>
    <row r="132">
      <c r="A132" s="3" t="n">
        <v>125</v>
      </c>
      <c r="B132" s="3" t="inlineStr">
        <is>
          <t>SSGG_025</t>
        </is>
      </c>
      <c r="C132" s="3" t="inlineStr">
        <is>
          <t>SSGG</t>
        </is>
      </c>
      <c r="D132" s="3" t="inlineStr">
        <is>
          <t xml:space="preserve">Alberto Fajardo Corpancho </t>
        </is>
      </c>
      <c r="F132" s="3" t="inlineStr">
        <is>
          <t>jfajardo@utp,edu,pe</t>
        </is>
      </c>
      <c r="G132" s="3" t="inlineStr">
        <is>
          <t>960 961 878</t>
        </is>
      </c>
      <c r="H132" s="3" t="inlineStr">
        <is>
          <t>Implementación de armario de respuesta a emergencias que cuenten con el equipamiento básico para la atención de emergencias,Torre II</t>
        </is>
      </c>
      <c r="Q132" s="3" t="inlineStr">
        <is>
          <t>SI</t>
        </is>
      </c>
      <c r="R132" s="3" t="inlineStr">
        <is>
          <t>UTP Lima Centro</t>
        </is>
      </c>
      <c r="S132" s="3" t="n">
        <v>10110204</v>
      </c>
      <c r="T132" s="3" t="inlineStr">
        <is>
          <t>UTP PETIT THOU383-385-TORRE II - LIMA</t>
        </is>
      </c>
      <c r="U132" s="3" t="n">
        <v>4218.75</v>
      </c>
      <c r="V132" s="3" t="n">
        <v>3292.2</v>
      </c>
      <c r="W132" s="3" t="inlineStr">
        <is>
          <t>A</t>
        </is>
      </c>
      <c r="X132" s="4" t="n">
        <v>46082</v>
      </c>
      <c r="Y132" s="4" t="n">
        <v>46082</v>
      </c>
      <c r="Z132" s="4" t="n">
        <v>46082</v>
      </c>
      <c r="AA132" s="4" t="n">
        <v>46157</v>
      </c>
      <c r="AB132" s="3" t="inlineStr">
        <is>
          <t>EJECUTADO</t>
        </is>
      </c>
      <c r="AC132" s="3" t="inlineStr">
        <is>
          <t>EJECUTADO</t>
        </is>
      </c>
      <c r="AD132" s="3" t="inlineStr">
        <is>
          <t>Seguridad</t>
        </is>
      </c>
      <c r="AE132" s="3" t="inlineStr">
        <is>
          <t>SC-0000119040-2026</t>
        </is>
      </c>
      <c r="AF132" s="7" t="n">
        <v>46084</v>
      </c>
      <c r="AG132" s="3" t="inlineStr">
        <is>
          <t>OC-0000123334-2026</t>
        </is>
      </c>
      <c r="AH132" s="7" t="n">
        <v>46091</v>
      </c>
      <c r="AI132" s="3" t="inlineStr">
        <is>
          <t>AM001011</t>
        </is>
      </c>
      <c r="AJ132" s="3" t="inlineStr">
        <is>
          <t>UTP_Implementación de armario de respuesta a emergencias que cuenten con el equipamiento básico para la atención de emergencias_LC Torre II</t>
        </is>
      </c>
    </row>
    <row r="133">
      <c r="A133" s="3" t="n">
        <v>126</v>
      </c>
      <c r="B133" s="3" t="inlineStr">
        <is>
          <t>SSGG_026</t>
        </is>
      </c>
      <c r="C133" s="3" t="inlineStr">
        <is>
          <t>SSGG</t>
        </is>
      </c>
      <c r="D133" s="3" t="inlineStr">
        <is>
          <t>Alberto Fajardo Corpancho  / Luis Alberto Garcia Durand</t>
        </is>
      </c>
      <c r="F133" s="3" t="inlineStr">
        <is>
          <t>jfajardo@utp,edu,pe / lgarciadd@utp,edu,pe</t>
        </is>
      </c>
      <c r="G133" s="3" t="inlineStr">
        <is>
          <t>960 961 878 / 958 209 824</t>
        </is>
      </c>
      <c r="H133" s="3" t="inlineStr">
        <is>
          <t>Implementación de cámaras en ascensores</t>
        </is>
      </c>
      <c r="Q133" s="3" t="inlineStr">
        <is>
          <t>SI</t>
        </is>
      </c>
      <c r="R133" s="3" t="inlineStr">
        <is>
          <t>UTP Lima Norte</t>
        </is>
      </c>
      <c r="S133" s="3" t="n">
        <v>10220111</v>
      </c>
      <c r="T133" s="3" t="inlineStr">
        <is>
          <t>UTP AV,INFANTAS MZ 2E LOTE 28, URB, STA LUISA - LOS OLIVOS</t>
        </is>
      </c>
      <c r="U133" s="3" t="n">
        <v>28600</v>
      </c>
      <c r="W133" s="3" t="inlineStr">
        <is>
          <t>B</t>
        </is>
      </c>
      <c r="X133" s="6" t="n"/>
      <c r="Y133" s="6" t="n"/>
      <c r="Z133" s="6" t="n"/>
      <c r="AA133" s="6" t="n"/>
      <c r="AB133" s="3" t="inlineStr">
        <is>
          <t>CANCELADO</t>
        </is>
      </c>
      <c r="AD133" s="3" t="inlineStr">
        <is>
          <t>Seguridad / Mantenimiento</t>
        </is>
      </c>
      <c r="AI133" s="3" t="inlineStr">
        <is>
          <t>AM001130</t>
        </is>
      </c>
      <c r="AJ133" s="3" t="inlineStr">
        <is>
          <t>UTP_Implementación de cámaras en ascensores</t>
        </is>
      </c>
      <c r="AM133" s="3" t="inlineStr">
        <is>
          <t>En decision de Gerencia</t>
        </is>
      </c>
    </row>
    <row r="134">
      <c r="A134" s="3" t="n">
        <v>127</v>
      </c>
      <c r="B134" s="3" t="inlineStr">
        <is>
          <t>SSGG_027</t>
        </is>
      </c>
      <c r="C134" s="3" t="inlineStr">
        <is>
          <t>SSGG</t>
        </is>
      </c>
      <c r="D134" s="3" t="inlineStr">
        <is>
          <t>Alberto Fajardo Corpancho  / Luis Alberto Garcia Durand</t>
        </is>
      </c>
      <c r="F134" s="3" t="inlineStr">
        <is>
          <t>jfajardo@utp,edu,pe / lgarciadd@utp,edu,pe</t>
        </is>
      </c>
      <c r="G134" s="3" t="inlineStr">
        <is>
          <t>960 961 878 / 958 209 824</t>
        </is>
      </c>
      <c r="H134" s="3" t="inlineStr">
        <is>
          <t>Implementación de cámaras en ascensores</t>
        </is>
      </c>
      <c r="Q134" s="3" t="inlineStr">
        <is>
          <t>SI</t>
        </is>
      </c>
      <c r="R134" s="3" t="inlineStr">
        <is>
          <t>UTP Lima Sur</t>
        </is>
      </c>
      <c r="S134" s="3" t="n">
        <v>10220106</v>
      </c>
      <c r="T134" s="3" t="inlineStr">
        <is>
          <t>UTP EL TRIUNFO S/N-VILLA SALVA - LIMA</t>
        </is>
      </c>
      <c r="U134" s="3" t="n">
        <v>26000</v>
      </c>
      <c r="W134" s="3" t="inlineStr">
        <is>
          <t>B</t>
        </is>
      </c>
      <c r="X134" s="6" t="n"/>
      <c r="Y134" s="6" t="n"/>
      <c r="Z134" s="6" t="n"/>
      <c r="AA134" s="6" t="n"/>
      <c r="AB134" s="3" t="inlineStr">
        <is>
          <t>CANCELADO</t>
        </is>
      </c>
      <c r="AD134" s="3" t="inlineStr">
        <is>
          <t>Seguridad / Mantenimiento</t>
        </is>
      </c>
      <c r="AI134" s="3" t="inlineStr">
        <is>
          <t>AM001133</t>
        </is>
      </c>
      <c r="AJ134" s="3" t="inlineStr">
        <is>
          <t>UTP_Implementación de cámaras en ascensores</t>
        </is>
      </c>
      <c r="AM134" s="3" t="inlineStr">
        <is>
          <t>En decision de Gerencia</t>
        </is>
      </c>
    </row>
    <row r="135">
      <c r="A135" s="3" t="n">
        <v>128</v>
      </c>
      <c r="B135" s="3" t="inlineStr">
        <is>
          <t>SSGG_028</t>
        </is>
      </c>
      <c r="C135" s="3" t="inlineStr">
        <is>
          <t>SSGG</t>
        </is>
      </c>
      <c r="D135" s="3" t="inlineStr">
        <is>
          <t>Alberto Fajardo Corpancho  / Luis Alberto Garcia Durand</t>
        </is>
      </c>
      <c r="F135" s="3" t="inlineStr">
        <is>
          <t>jfajardo@utp,edu,pe / lgarciadd@utp,edu,pe</t>
        </is>
      </c>
      <c r="G135" s="3" t="inlineStr">
        <is>
          <t>960 961 878 / 958 209 824</t>
        </is>
      </c>
      <c r="H135" s="3" t="inlineStr">
        <is>
          <t>Implementación de cámaras en ascensores</t>
        </is>
      </c>
      <c r="Q135" s="3" t="inlineStr">
        <is>
          <t>SI</t>
        </is>
      </c>
      <c r="R135" s="3" t="inlineStr">
        <is>
          <t>UTP Lima Este</t>
        </is>
      </c>
      <c r="S135" s="3" t="n">
        <v>10220108</v>
      </c>
      <c r="T135" s="3" t="inlineStr">
        <is>
          <t>UTP N,AYLLON KM11,60 LOTE 96ATE -LIMA</t>
        </is>
      </c>
      <c r="U135" s="3" t="n">
        <v>15600</v>
      </c>
      <c r="W135" s="3" t="inlineStr">
        <is>
          <t>B</t>
        </is>
      </c>
      <c r="X135" s="6" t="n"/>
      <c r="Y135" s="6" t="n"/>
      <c r="Z135" s="6" t="n"/>
      <c r="AA135" s="6" t="n"/>
      <c r="AB135" s="3" t="inlineStr">
        <is>
          <t>CANCELADO</t>
        </is>
      </c>
      <c r="AD135" s="3" t="inlineStr">
        <is>
          <t>Seguridad / Mantenimiento</t>
        </is>
      </c>
      <c r="AI135" s="3" t="inlineStr">
        <is>
          <t>AM001135</t>
        </is>
      </c>
      <c r="AJ135" s="3" t="inlineStr">
        <is>
          <t>UTP_Implementación de cámaras en ascensores</t>
        </is>
      </c>
      <c r="AM135" s="3" t="inlineStr">
        <is>
          <t>En decision de Gerencia</t>
        </is>
      </c>
    </row>
    <row r="136">
      <c r="A136" s="3" t="n">
        <v>129</v>
      </c>
      <c r="B136" s="3" t="inlineStr">
        <is>
          <t>SSGG_029</t>
        </is>
      </c>
      <c r="C136" s="3" t="inlineStr">
        <is>
          <t>SSGG</t>
        </is>
      </c>
      <c r="D136" s="3" t="inlineStr">
        <is>
          <t>Alberto Fajardo Corpancho  / Luis Alberto Garcia Durand</t>
        </is>
      </c>
      <c r="F136" s="3" t="inlineStr">
        <is>
          <t>jfajardo@utp,edu,pe / lgarciadd@utp,edu,pe</t>
        </is>
      </c>
      <c r="G136" s="3" t="inlineStr">
        <is>
          <t>960 961 878 / 958 209 824</t>
        </is>
      </c>
      <c r="H136" s="3" t="inlineStr">
        <is>
          <t>Implementación de cámaras en ascensores</t>
        </is>
      </c>
      <c r="Q136" s="3" t="inlineStr">
        <is>
          <t>SI</t>
        </is>
      </c>
      <c r="R136" s="3" t="inlineStr">
        <is>
          <t>UTP SJL</t>
        </is>
      </c>
      <c r="S136" s="3" t="n">
        <v>10220110</v>
      </c>
      <c r="T136" s="3" t="inlineStr">
        <is>
          <t>UTP AV,SOL SUB LT 13B MZG SJL - LIMA</t>
        </is>
      </c>
      <c r="U136" s="3" t="n">
        <v>20800</v>
      </c>
      <c r="W136" s="3" t="inlineStr">
        <is>
          <t>B</t>
        </is>
      </c>
      <c r="X136" s="6" t="n"/>
      <c r="Y136" s="6" t="n"/>
      <c r="Z136" s="6" t="n"/>
      <c r="AA136" s="6" t="n"/>
      <c r="AB136" s="3" t="inlineStr">
        <is>
          <t>CANCELADO</t>
        </is>
      </c>
      <c r="AD136" s="3" t="inlineStr">
        <is>
          <t>Seguridad / Mantenimiento</t>
        </is>
      </c>
      <c r="AI136" s="3" t="inlineStr">
        <is>
          <t>AM001132</t>
        </is>
      </c>
      <c r="AJ136" s="3" t="inlineStr">
        <is>
          <t>UTP_Implementación de cámaras en ascensores</t>
        </is>
      </c>
      <c r="AM136" s="3" t="inlineStr">
        <is>
          <t>En decision de Gerencia</t>
        </is>
      </c>
    </row>
    <row r="137">
      <c r="A137" s="3" t="n">
        <v>130</v>
      </c>
      <c r="B137" s="3" t="inlineStr">
        <is>
          <t>SSGG_030</t>
        </is>
      </c>
      <c r="C137" s="3" t="inlineStr">
        <is>
          <t>SSGG</t>
        </is>
      </c>
      <c r="D137" s="3" t="inlineStr">
        <is>
          <t>Alberto Fajardo Corpancho  / Luis Alberto Garcia Durand</t>
        </is>
      </c>
      <c r="F137" s="3" t="inlineStr">
        <is>
          <t>jfajardo@utp,edu,pe / lgarciadd@utp,edu,pe</t>
        </is>
      </c>
      <c r="G137" s="3" t="inlineStr">
        <is>
          <t>960 961 878 / 958 209 824</t>
        </is>
      </c>
      <c r="H137" s="3" t="inlineStr">
        <is>
          <t>Implementación de cámaras en ascensores</t>
        </is>
      </c>
      <c r="Q137" s="3" t="inlineStr">
        <is>
          <t>SI</t>
        </is>
      </c>
      <c r="R137" s="3" t="inlineStr">
        <is>
          <t>UTP Ica</t>
        </is>
      </c>
      <c r="S137" s="3" t="n">
        <v>70160101</v>
      </c>
      <c r="T137" s="3" t="inlineStr">
        <is>
          <t>UTP SUB EUB-5 SAN JOSE - ICA</t>
        </is>
      </c>
      <c r="U137" s="3" t="n">
        <v>18200</v>
      </c>
      <c r="W137" s="3" t="inlineStr">
        <is>
          <t>B</t>
        </is>
      </c>
      <c r="X137" s="6" t="n"/>
      <c r="Y137" s="6" t="n"/>
      <c r="Z137" s="6" t="n"/>
      <c r="AA137" s="6" t="n"/>
      <c r="AB137" s="3" t="inlineStr">
        <is>
          <t>CANCELADO</t>
        </is>
      </c>
      <c r="AD137" s="3" t="inlineStr">
        <is>
          <t>Seguridad / Mantenimiento</t>
        </is>
      </c>
      <c r="AI137" s="3" t="inlineStr">
        <is>
          <t>AM001143</t>
        </is>
      </c>
      <c r="AJ137" s="3" t="inlineStr">
        <is>
          <t>UTP_Implementación de cámaras en ascensores</t>
        </is>
      </c>
      <c r="AM137" s="3" t="inlineStr">
        <is>
          <t>En decision de Gerencia</t>
        </is>
      </c>
    </row>
    <row r="138">
      <c r="A138" s="3" t="n">
        <v>131</v>
      </c>
      <c r="B138" s="3" t="inlineStr">
        <is>
          <t>SSGG_031</t>
        </is>
      </c>
      <c r="C138" s="3" t="inlineStr">
        <is>
          <t>SSGG</t>
        </is>
      </c>
      <c r="D138" s="3" t="inlineStr">
        <is>
          <t>Alberto Fajardo Corpancho  / Luis Alberto Garcia Durand</t>
        </is>
      </c>
      <c r="F138" s="3" t="inlineStr">
        <is>
          <t>jfajardo@utp,edu,pe / lgarciadd@utp,edu,pe</t>
        </is>
      </c>
      <c r="G138" s="3" t="inlineStr">
        <is>
          <t>960 961 878 / 958 209 824</t>
        </is>
      </c>
      <c r="H138" s="3" t="inlineStr">
        <is>
          <t>Implementación de cámaras en ascensores</t>
        </is>
      </c>
      <c r="Q138" s="3" t="inlineStr">
        <is>
          <t>SI</t>
        </is>
      </c>
      <c r="R138" s="3" t="inlineStr">
        <is>
          <t>UTP Huancayo</t>
        </is>
      </c>
      <c r="S138" s="3" t="n">
        <v>70190101</v>
      </c>
      <c r="T138" s="3" t="inlineStr">
        <is>
          <t>UTP AV,CIRCUNVALACIÓN 449 - HUANCAYO</t>
        </is>
      </c>
      <c r="U138" s="3" t="n">
        <v>15600</v>
      </c>
      <c r="W138" s="3" t="inlineStr">
        <is>
          <t>B</t>
        </is>
      </c>
      <c r="X138" s="6" t="n"/>
      <c r="Y138" s="6" t="n"/>
      <c r="Z138" s="6" t="n"/>
      <c r="AA138" s="6" t="n"/>
      <c r="AB138" s="3" t="inlineStr">
        <is>
          <t>CANCELADO</t>
        </is>
      </c>
      <c r="AD138" s="3" t="inlineStr">
        <is>
          <t>Seguridad / Mantenimiento</t>
        </is>
      </c>
      <c r="AI138" s="3" t="inlineStr">
        <is>
          <t>AM001204</t>
        </is>
      </c>
      <c r="AJ138" s="3" t="inlineStr">
        <is>
          <t>UTP_Hcyo_Implementación de cámaras en ascensores</t>
        </is>
      </c>
      <c r="AK138" s="7" t="n">
        <v>46055</v>
      </c>
      <c r="AL138" s="3" t="inlineStr">
        <is>
          <t>ESEVERINO</t>
        </is>
      </c>
      <c r="AM138" s="3" t="inlineStr">
        <is>
          <t>En decision de Gerencia</t>
        </is>
      </c>
    </row>
    <row r="139">
      <c r="A139" s="3" t="n">
        <v>132</v>
      </c>
      <c r="B139" s="3" t="inlineStr">
        <is>
          <t>SSGG_032</t>
        </is>
      </c>
      <c r="C139" s="3" t="inlineStr">
        <is>
          <t>SSGG</t>
        </is>
      </c>
      <c r="D139" s="3" t="inlineStr">
        <is>
          <t>Alberto Fajardo Corpancho  / Luis Alberto Garcia Durand</t>
        </is>
      </c>
      <c r="F139" s="3" t="inlineStr">
        <is>
          <t>jfajardo@utp,edu,pe / lgarciadd@utp,edu,pe</t>
        </is>
      </c>
      <c r="G139" s="3" t="inlineStr">
        <is>
          <t>960 961 878 / 958 209 824</t>
        </is>
      </c>
      <c r="H139" s="3" t="inlineStr">
        <is>
          <t>Implementación de cámaras en ascensores</t>
        </is>
      </c>
      <c r="Q139" s="3" t="inlineStr">
        <is>
          <t>SI</t>
        </is>
      </c>
      <c r="R139" s="3" t="inlineStr">
        <is>
          <t>UTP Chiclayo</t>
        </is>
      </c>
      <c r="S139" s="3" t="n">
        <v>70120201</v>
      </c>
      <c r="T139" s="3" t="inlineStr">
        <is>
          <t>UTP AV, PROGRESO CON AV, EVITAMIENTO S/N  - CHICLAYO</t>
        </is>
      </c>
      <c r="U139" s="3" t="n">
        <v>26000</v>
      </c>
      <c r="W139" s="3" t="inlineStr">
        <is>
          <t>B</t>
        </is>
      </c>
      <c r="X139" s="6" t="n"/>
      <c r="Y139" s="6" t="n"/>
      <c r="Z139" s="6" t="n"/>
      <c r="AA139" s="6" t="n"/>
      <c r="AB139" s="3" t="inlineStr">
        <is>
          <t>CANCELADO</t>
        </is>
      </c>
      <c r="AD139" s="3" t="inlineStr">
        <is>
          <t>Seguridad / Mantenimiento</t>
        </is>
      </c>
      <c r="AI139" s="3" t="inlineStr">
        <is>
          <t>AM001129</t>
        </is>
      </c>
      <c r="AJ139" s="3" t="inlineStr">
        <is>
          <t>UTP_Implementación de cámaras en ascensores</t>
        </is>
      </c>
      <c r="AM139" s="3" t="inlineStr">
        <is>
          <t>En decision de Gerencia</t>
        </is>
      </c>
    </row>
    <row r="140">
      <c r="A140" s="3" t="n">
        <v>133</v>
      </c>
      <c r="B140" s="3" t="inlineStr">
        <is>
          <t>SSGG_033</t>
        </is>
      </c>
      <c r="C140" s="3" t="inlineStr">
        <is>
          <t>SSGG</t>
        </is>
      </c>
      <c r="D140" s="3" t="inlineStr">
        <is>
          <t>Alberto Fajardo Corpancho  / Luis Alberto Garcia Durand</t>
        </is>
      </c>
      <c r="F140" s="3" t="inlineStr">
        <is>
          <t>jfajardo@utp,edu,pe / lgarciadd@utp,edu,pe</t>
        </is>
      </c>
      <c r="G140" s="3" t="inlineStr">
        <is>
          <t>960 961 878 / 958 209 824</t>
        </is>
      </c>
      <c r="H140" s="3" t="inlineStr">
        <is>
          <t>Implementación de cámaras en ascensores</t>
        </is>
      </c>
      <c r="Q140" s="3" t="inlineStr">
        <is>
          <t>SI</t>
        </is>
      </c>
      <c r="R140" s="3" t="inlineStr">
        <is>
          <t>UTP Piura</t>
        </is>
      </c>
      <c r="S140" s="3" t="n">
        <v>70170101</v>
      </c>
      <c r="T140" s="3" t="inlineStr">
        <is>
          <t>UTP AV,PANAMERICANA 234 -PIURA</t>
        </is>
      </c>
      <c r="U140" s="3" t="n">
        <v>18200</v>
      </c>
      <c r="W140" s="3" t="inlineStr">
        <is>
          <t>B</t>
        </is>
      </c>
      <c r="X140" s="6" t="n"/>
      <c r="Y140" s="6" t="n"/>
      <c r="Z140" s="6" t="n"/>
      <c r="AA140" s="6" t="n"/>
      <c r="AB140" s="3" t="inlineStr">
        <is>
          <t>CANCELADO</t>
        </is>
      </c>
      <c r="AD140" s="3" t="inlineStr">
        <is>
          <t>Seguridad / Mantenimiento</t>
        </is>
      </c>
      <c r="AI140" s="3" t="inlineStr">
        <is>
          <t>AM001131</t>
        </is>
      </c>
      <c r="AJ140" s="3" t="inlineStr">
        <is>
          <t>UTP_Implementación de cámaras en ascensores</t>
        </is>
      </c>
      <c r="AM140" s="3" t="inlineStr">
        <is>
          <t>En decision de Gerencia</t>
        </is>
      </c>
    </row>
    <row r="141">
      <c r="A141" s="3" t="n">
        <v>134</v>
      </c>
      <c r="B141" s="3" t="inlineStr">
        <is>
          <t>SSGG_034</t>
        </is>
      </c>
      <c r="C141" s="3" t="inlineStr">
        <is>
          <t>SSGG</t>
        </is>
      </c>
      <c r="D141" s="3" t="inlineStr">
        <is>
          <t>Alberto Fajardo Corpancho  / Luis Alberto Garcia Durand</t>
        </is>
      </c>
      <c r="F141" s="3" t="inlineStr">
        <is>
          <t>jfajardo@utp,edu,pe / lgarciadd@utp,edu,pe</t>
        </is>
      </c>
      <c r="G141" s="3" t="inlineStr">
        <is>
          <t>960 961 878 / 958 209 824</t>
        </is>
      </c>
      <c r="H141" s="3" t="inlineStr">
        <is>
          <t>Implementación de cámaras en ascensores</t>
        </is>
      </c>
      <c r="Q141" s="3" t="inlineStr">
        <is>
          <t>SI</t>
        </is>
      </c>
      <c r="R141" s="3" t="inlineStr">
        <is>
          <t>UTP Trujillo</t>
        </is>
      </c>
      <c r="S141" s="3" t="n">
        <v>70180103</v>
      </c>
      <c r="T141" s="3" t="inlineStr">
        <is>
          <t>UTP NICOLAS PIEROLA - TRUJILLO</t>
        </is>
      </c>
      <c r="U141" s="3" t="n">
        <v>20800</v>
      </c>
      <c r="W141" s="3" t="inlineStr">
        <is>
          <t>B</t>
        </is>
      </c>
      <c r="X141" s="6" t="n"/>
      <c r="Y141" s="6" t="n"/>
      <c r="Z141" s="6" t="n"/>
      <c r="AA141" s="6" t="n"/>
      <c r="AB141" s="3" t="inlineStr">
        <is>
          <t>CANCELADO</t>
        </is>
      </c>
      <c r="AD141" s="3" t="inlineStr">
        <is>
          <t>Seguridad / Mantenimiento</t>
        </is>
      </c>
      <c r="AI141" s="3" t="inlineStr">
        <is>
          <t>AM001136</t>
        </is>
      </c>
      <c r="AJ141" s="3" t="inlineStr">
        <is>
          <t>UTP_Implementación de cámaras en ascensores</t>
        </is>
      </c>
      <c r="AM141" s="3" t="inlineStr">
        <is>
          <t>En decision de Gerencia</t>
        </is>
      </c>
    </row>
    <row r="142">
      <c r="A142" s="3" t="n">
        <v>135</v>
      </c>
      <c r="B142" s="3" t="inlineStr">
        <is>
          <t>SSGG_035</t>
        </is>
      </c>
      <c r="C142" s="3" t="inlineStr">
        <is>
          <t>SSGG</t>
        </is>
      </c>
      <c r="D142" s="3" t="inlineStr">
        <is>
          <t>Alberto Fajardo Corpancho  / Luis Alberto Garcia Durand</t>
        </is>
      </c>
      <c r="F142" s="3" t="inlineStr">
        <is>
          <t>jfajardo@utp,edu,pe / lgarciadd@utp,edu,pe</t>
        </is>
      </c>
      <c r="G142" s="3" t="inlineStr">
        <is>
          <t>960 961 878 / 958 209 824</t>
        </is>
      </c>
      <c r="H142" s="3" t="inlineStr">
        <is>
          <t>Implementación de cámaras en ascensores</t>
        </is>
      </c>
      <c r="Q142" s="3" t="inlineStr">
        <is>
          <t>SI</t>
        </is>
      </c>
      <c r="R142" s="3" t="inlineStr">
        <is>
          <t>UTP Chimbote</t>
        </is>
      </c>
      <c r="S142" s="3" t="n">
        <v>70150101</v>
      </c>
      <c r="T142" s="3" t="inlineStr">
        <is>
          <t>UTP PASERO DEL MAR MZ C9- LT2 - CHIMBOTE</t>
        </is>
      </c>
      <c r="U142" s="3" t="n">
        <v>7800</v>
      </c>
      <c r="W142" s="3" t="inlineStr">
        <is>
          <t>B</t>
        </is>
      </c>
      <c r="X142" s="6" t="n"/>
      <c r="Y142" s="6" t="n"/>
      <c r="Z142" s="6" t="n"/>
      <c r="AA142" s="6" t="n"/>
      <c r="AB142" s="3" t="inlineStr">
        <is>
          <t>CANCELADO</t>
        </is>
      </c>
      <c r="AD142" s="3" t="inlineStr">
        <is>
          <t>Seguridad / Mantenimiento</t>
        </is>
      </c>
      <c r="AI142" s="3" t="inlineStr">
        <is>
          <t>AM001139</t>
        </is>
      </c>
      <c r="AJ142" s="3" t="inlineStr">
        <is>
          <t>UTP_Implementación de cámaras en ascensores</t>
        </is>
      </c>
      <c r="AM142" s="3" t="inlineStr">
        <is>
          <t>En decision de Gerencia</t>
        </is>
      </c>
    </row>
    <row r="143">
      <c r="A143" s="3" t="n">
        <v>136</v>
      </c>
      <c r="B143" s="3" t="inlineStr">
        <is>
          <t>SSGG_036</t>
        </is>
      </c>
      <c r="C143" s="3" t="inlineStr">
        <is>
          <t>SSGG</t>
        </is>
      </c>
      <c r="D143" s="3" t="inlineStr">
        <is>
          <t>Alberto Fajardo Corpancho  / Luis Alberto Garcia Durand</t>
        </is>
      </c>
      <c r="F143" s="3" t="inlineStr">
        <is>
          <t>jfajardo@utp,edu,pe / lgarciadd@utp,edu,pe</t>
        </is>
      </c>
      <c r="G143" s="3" t="inlineStr">
        <is>
          <t>960 961 878 / 958 209 824</t>
        </is>
      </c>
      <c r="H143" s="3" t="inlineStr">
        <is>
          <t>Implementación de cámaras en ascensores</t>
        </is>
      </c>
      <c r="Q143" s="3" t="inlineStr">
        <is>
          <t>SI</t>
        </is>
      </c>
      <c r="R143" s="3" t="inlineStr">
        <is>
          <t>UTP Iquitos</t>
        </is>
      </c>
      <c r="S143" s="3" t="n">
        <v>70230101</v>
      </c>
      <c r="T143" s="3" t="inlineStr">
        <is>
          <t>UTP AV, ABELARDO QUIÑONES 2371 - IQUITOS</t>
        </is>
      </c>
      <c r="U143" s="3" t="n">
        <v>2600</v>
      </c>
      <c r="W143" s="3" t="inlineStr">
        <is>
          <t>B</t>
        </is>
      </c>
      <c r="X143" s="6" t="n"/>
      <c r="Y143" s="6" t="n"/>
      <c r="Z143" s="6" t="n"/>
      <c r="AA143" s="6" t="n"/>
      <c r="AB143" s="3" t="inlineStr">
        <is>
          <t>CANCELADO</t>
        </is>
      </c>
      <c r="AD143" s="3" t="inlineStr">
        <is>
          <t>Seguridad / Mantenimiento</t>
        </is>
      </c>
      <c r="AI143" s="3" t="inlineStr">
        <is>
          <t>AM001123</t>
        </is>
      </c>
      <c r="AJ143" s="3" t="inlineStr">
        <is>
          <t>UTP_Implementación de cámaras en ascensores</t>
        </is>
      </c>
      <c r="AM143" s="3" t="inlineStr">
        <is>
          <t>En decision de Gerencia</t>
        </is>
      </c>
    </row>
    <row r="144">
      <c r="A144" s="3" t="n">
        <v>137</v>
      </c>
      <c r="B144" s="3" t="inlineStr">
        <is>
          <t>SSGG_037</t>
        </is>
      </c>
      <c r="C144" s="3" t="inlineStr">
        <is>
          <t>SSGG</t>
        </is>
      </c>
      <c r="D144" s="3" t="inlineStr">
        <is>
          <t>Alberto Fajardo Corpancho  / Luis Alberto Garcia Durand</t>
        </is>
      </c>
      <c r="F144" s="3" t="inlineStr">
        <is>
          <t>jfajardo@utp,edu,pe / lgarciadd@utp,edu,pe</t>
        </is>
      </c>
      <c r="G144" s="3" t="inlineStr">
        <is>
          <t>960 961 878 / 958 209 824</t>
        </is>
      </c>
      <c r="H144" s="3" t="inlineStr">
        <is>
          <t>Implementación de cámaras en ascensores</t>
        </is>
      </c>
      <c r="Q144" s="3" t="inlineStr">
        <is>
          <t>SI</t>
        </is>
      </c>
      <c r="R144" s="3" t="inlineStr">
        <is>
          <t>UTP Pucallpa</t>
        </is>
      </c>
      <c r="S144" s="3" t="n">
        <v>70220101</v>
      </c>
      <c r="T144" s="3" t="inlineStr">
        <is>
          <t>UTP AV, CENTENARIO - PUCALLPA</t>
        </is>
      </c>
      <c r="U144" s="3" t="n">
        <v>2600</v>
      </c>
      <c r="W144" s="3" t="inlineStr">
        <is>
          <t>B</t>
        </is>
      </c>
      <c r="X144" s="6" t="n"/>
      <c r="Y144" s="6" t="n"/>
      <c r="Z144" s="6" t="n"/>
      <c r="AA144" s="6" t="n"/>
      <c r="AB144" s="3" t="inlineStr">
        <is>
          <t>CANCELADO</t>
        </is>
      </c>
      <c r="AD144" s="3" t="inlineStr">
        <is>
          <t>Seguridad / Mantenimiento</t>
        </is>
      </c>
      <c r="AI144" s="3" t="inlineStr">
        <is>
          <t>AM001127</t>
        </is>
      </c>
      <c r="AJ144" s="3" t="inlineStr">
        <is>
          <t>UTP_Implementación de cámaras en ascensores</t>
        </is>
      </c>
      <c r="AM144" s="3" t="inlineStr">
        <is>
          <t>En decision de Gerencia</t>
        </is>
      </c>
    </row>
    <row r="145">
      <c r="A145" s="3" t="n">
        <v>138</v>
      </c>
      <c r="B145" s="3" t="inlineStr">
        <is>
          <t>SSGG_038</t>
        </is>
      </c>
      <c r="C145" s="3" t="inlineStr">
        <is>
          <t>SSGG</t>
        </is>
      </c>
      <c r="D145" s="3" t="inlineStr">
        <is>
          <t>Alberto Fajardo Corpancho  / Luis Alberto Garcia Durand</t>
        </is>
      </c>
      <c r="F145" s="3" t="inlineStr">
        <is>
          <t>jfajardo@utp,edu,pe / lgarciadd@utp,edu,pe</t>
        </is>
      </c>
      <c r="G145" s="3" t="inlineStr">
        <is>
          <t>960 961 878 / 958 209 824</t>
        </is>
      </c>
      <c r="H145" s="3" t="inlineStr">
        <is>
          <t>Implementación de cámaras en ascensores</t>
        </is>
      </c>
      <c r="Q145" s="3" t="inlineStr">
        <is>
          <t>SI</t>
        </is>
      </c>
      <c r="R145" s="3" t="inlineStr">
        <is>
          <t>UTP Tacna</t>
        </is>
      </c>
      <c r="S145" s="3" t="n">
        <v>70200101</v>
      </c>
      <c r="T145" s="3" t="inlineStr">
        <is>
          <t>UTP AV, BILLINGHURTS 800 - TACNA</t>
        </is>
      </c>
      <c r="U145" s="3" t="n">
        <v>7800</v>
      </c>
      <c r="W145" s="3" t="inlineStr">
        <is>
          <t>B</t>
        </is>
      </c>
      <c r="X145" s="6" t="n"/>
      <c r="Y145" s="6" t="n"/>
      <c r="Z145" s="6" t="n"/>
      <c r="AA145" s="6" t="n"/>
      <c r="AB145" s="3" t="inlineStr">
        <is>
          <t>CANCELADO</t>
        </is>
      </c>
      <c r="AD145" s="3" t="inlineStr">
        <is>
          <t>Seguridad / Mantenimiento</t>
        </is>
      </c>
      <c r="AI145" s="3" t="inlineStr">
        <is>
          <t>AM001126</t>
        </is>
      </c>
      <c r="AJ145" s="3" t="inlineStr">
        <is>
          <t>UTP_Implementación de cámaras en ascensores</t>
        </is>
      </c>
      <c r="AM145" s="3" t="inlineStr">
        <is>
          <t>En decision de Gerencia</t>
        </is>
      </c>
    </row>
    <row r="146">
      <c r="A146" s="3" t="n">
        <v>139</v>
      </c>
      <c r="B146" s="3" t="inlineStr">
        <is>
          <t>SSGG_039</t>
        </is>
      </c>
      <c r="C146" s="3" t="inlineStr">
        <is>
          <t>SSGG</t>
        </is>
      </c>
      <c r="D146" s="3" t="inlineStr">
        <is>
          <t>Alberto Fajardo Corpancho  / Luis Alberto Garcia Durand</t>
        </is>
      </c>
      <c r="F146" s="3" t="inlineStr">
        <is>
          <t>jfajardo@utp,edu,pe / lgarciadd@utp,edu,pe</t>
        </is>
      </c>
      <c r="G146" s="3" t="inlineStr">
        <is>
          <t>960 961 878 / 958 209 824</t>
        </is>
      </c>
      <c r="H146" s="3" t="inlineStr">
        <is>
          <t>Implementación de cámaras en ascensores Arequipa TyA</t>
        </is>
      </c>
      <c r="Q146" s="3" t="inlineStr">
        <is>
          <t>SI</t>
        </is>
      </c>
      <c r="R146" s="3" t="inlineStr">
        <is>
          <t>UTP Arequipa</t>
        </is>
      </c>
      <c r="S146" s="3" t="n">
        <v>70110101</v>
      </c>
      <c r="T146" s="3" t="inlineStr">
        <is>
          <t>UTP TACNA-ARICA 158-160-162 - AREQUIPA</t>
        </is>
      </c>
      <c r="U146" s="3" t="n">
        <v>2600</v>
      </c>
      <c r="W146" s="3" t="inlineStr">
        <is>
          <t>B</t>
        </is>
      </c>
      <c r="X146" s="6" t="n"/>
      <c r="Y146" s="6" t="n"/>
      <c r="Z146" s="6" t="n"/>
      <c r="AA146" s="6" t="n"/>
      <c r="AB146" s="3" t="inlineStr">
        <is>
          <t>CANCELADO</t>
        </is>
      </c>
      <c r="AD146" s="3" t="inlineStr">
        <is>
          <t>Seguridad / Mantenimiento</t>
        </is>
      </c>
      <c r="AI146" s="3" t="inlineStr">
        <is>
          <t>AM001145</t>
        </is>
      </c>
      <c r="AJ146" s="3" t="inlineStr">
        <is>
          <t>UTP_Implementación de cámaras en ascensores</t>
        </is>
      </c>
      <c r="AM146" s="3" t="inlineStr">
        <is>
          <t>En decision de Gerencia</t>
        </is>
      </c>
    </row>
    <row r="147">
      <c r="A147" s="3" t="n">
        <v>140</v>
      </c>
      <c r="B147" s="3" t="inlineStr">
        <is>
          <t>SSGG_040</t>
        </is>
      </c>
      <c r="C147" s="3" t="inlineStr">
        <is>
          <t>SSGG</t>
        </is>
      </c>
      <c r="D147" s="3" t="inlineStr">
        <is>
          <t>Alberto Fajardo Corpancho  / Luis Alberto Garcia Durand</t>
        </is>
      </c>
      <c r="F147" s="3" t="inlineStr">
        <is>
          <t>jfajardo@utp,edu,pe / lgarciadd@utp,edu,pe</t>
        </is>
      </c>
      <c r="G147" s="3" t="inlineStr">
        <is>
          <t>960 961 878 / 958 209 824</t>
        </is>
      </c>
      <c r="H147" s="3" t="inlineStr">
        <is>
          <t>Implementación de cámaras en ascensores Jarrita</t>
        </is>
      </c>
      <c r="Q147" s="3" t="inlineStr">
        <is>
          <t>SI</t>
        </is>
      </c>
      <c r="R147" s="3" t="inlineStr">
        <is>
          <t>UTP Lima Centro</t>
        </is>
      </c>
      <c r="S147" s="3" t="n">
        <v>10110206</v>
      </c>
      <c r="T147" s="3" t="inlineStr">
        <is>
          <t>UTP PETIT THOURS 170-180-188-198 - LIMA</t>
        </is>
      </c>
      <c r="U147" s="3" t="n">
        <v>7800</v>
      </c>
      <c r="W147" s="3" t="inlineStr">
        <is>
          <t>B</t>
        </is>
      </c>
      <c r="X147" s="6" t="n"/>
      <c r="Y147" s="6" t="n"/>
      <c r="Z147" s="6" t="n"/>
      <c r="AA147" s="6" t="n"/>
      <c r="AB147" s="3" t="inlineStr">
        <is>
          <t>CANCELADO</t>
        </is>
      </c>
      <c r="AD147" s="3" t="inlineStr">
        <is>
          <t>Seguridad / Mantenimiento</t>
        </is>
      </c>
      <c r="AI147" s="3" t="inlineStr">
        <is>
          <t>AM001205</t>
        </is>
      </c>
      <c r="AJ147" s="3" t="inlineStr">
        <is>
          <t>UTP_PTT170-180-188-198_Implementación de cámaras en ascensores Jarrita</t>
        </is>
      </c>
      <c r="AK147" s="7" t="n">
        <v>46055</v>
      </c>
      <c r="AL147" s="3" t="inlineStr">
        <is>
          <t>ESEVERINO</t>
        </is>
      </c>
      <c r="AM147" s="3" t="inlineStr">
        <is>
          <t>En decision de Gerencia</t>
        </is>
      </c>
    </row>
    <row r="148">
      <c r="A148" s="3" t="n">
        <v>141</v>
      </c>
      <c r="B148" s="3" t="inlineStr">
        <is>
          <t>SSGG_041</t>
        </is>
      </c>
      <c r="C148" s="3" t="inlineStr">
        <is>
          <t>SSGG</t>
        </is>
      </c>
      <c r="D148" s="3" t="inlineStr">
        <is>
          <t>Alberto Fajardo Corpancho  / Luis Alberto Garcia Durand</t>
        </is>
      </c>
      <c r="F148" s="3" t="inlineStr">
        <is>
          <t>jfajardo@utp,edu,pe / lgarciadd@utp,edu,pe</t>
        </is>
      </c>
      <c r="G148" s="3" t="inlineStr">
        <is>
          <t>960 961 878 / 958 209 824</t>
        </is>
      </c>
      <c r="H148" s="3" t="inlineStr">
        <is>
          <t>Implementación de cámaras en ascensores LC TTA</t>
        </is>
      </c>
      <c r="Q148" s="3" t="inlineStr">
        <is>
          <t>SI</t>
        </is>
      </c>
      <c r="R148" s="3" t="inlineStr">
        <is>
          <t>UTP Lima Centro</t>
        </is>
      </c>
      <c r="S148" s="3" t="n">
        <v>10110205</v>
      </c>
      <c r="T148" s="3" t="inlineStr">
        <is>
          <t>UTP AV, AREQUIPA 265-279 - LIMA</t>
        </is>
      </c>
      <c r="U148" s="3" t="n">
        <v>13000</v>
      </c>
      <c r="W148" s="3" t="inlineStr">
        <is>
          <t>B</t>
        </is>
      </c>
      <c r="X148" s="6" t="n"/>
      <c r="Y148" s="6" t="n"/>
      <c r="Z148" s="6" t="n"/>
      <c r="AA148" s="6" t="n"/>
      <c r="AB148" s="3" t="inlineStr">
        <is>
          <t>CANCELADO</t>
        </is>
      </c>
      <c r="AD148" s="3" t="inlineStr">
        <is>
          <t>Seguridad / Mantenimiento</t>
        </is>
      </c>
      <c r="AI148" s="3" t="inlineStr">
        <is>
          <t>AM001125</t>
        </is>
      </c>
      <c r="AJ148" s="3" t="inlineStr">
        <is>
          <t>UTP_Implementación de cámaras en ascensores</t>
        </is>
      </c>
      <c r="AM148" s="3" t="inlineStr">
        <is>
          <t>En decision de Gerencia</t>
        </is>
      </c>
    </row>
    <row r="149">
      <c r="A149" s="3" t="n">
        <v>142</v>
      </c>
      <c r="B149" s="3" t="inlineStr">
        <is>
          <t>SSGG_042</t>
        </is>
      </c>
      <c r="C149" s="3" t="inlineStr">
        <is>
          <t>SSGG</t>
        </is>
      </c>
      <c r="D149" s="3" t="inlineStr">
        <is>
          <t>Alberto Fajardo Corpancho  / Luis Alberto Garcia Durand</t>
        </is>
      </c>
      <c r="F149" s="3" t="inlineStr">
        <is>
          <t>jfajardo@utp,edu,pe / lgarciadd@utp,edu,pe</t>
        </is>
      </c>
      <c r="G149" s="3" t="inlineStr">
        <is>
          <t>960 961 878 / 958 209 824</t>
        </is>
      </c>
      <c r="H149" s="3" t="inlineStr">
        <is>
          <t>Implementación de cámaras en ascensores Pacífico</t>
        </is>
      </c>
      <c r="Q149" s="3" t="inlineStr">
        <is>
          <t>SI</t>
        </is>
      </c>
      <c r="R149" s="3" t="inlineStr">
        <is>
          <t>UTP Lima Centro</t>
        </is>
      </c>
      <c r="S149" s="3" t="n">
        <v>10110102</v>
      </c>
      <c r="T149" s="3" t="inlineStr">
        <is>
          <t>UTP AREQUIPA 660- 670 - LIMA</t>
        </is>
      </c>
      <c r="U149" s="3" t="n">
        <v>5200</v>
      </c>
      <c r="W149" s="3" t="inlineStr">
        <is>
          <t>B</t>
        </is>
      </c>
      <c r="X149" s="6" t="n"/>
      <c r="Y149" s="6" t="n"/>
      <c r="Z149" s="6" t="n"/>
      <c r="AA149" s="6" t="n"/>
      <c r="AB149" s="3" t="inlineStr">
        <is>
          <t>CANCELADO</t>
        </is>
      </c>
      <c r="AD149" s="3" t="inlineStr">
        <is>
          <t>Seguridad / Mantenimiento</t>
        </is>
      </c>
      <c r="AI149" s="3" t="inlineStr">
        <is>
          <t>AM001122</t>
        </is>
      </c>
      <c r="AJ149" s="3" t="inlineStr">
        <is>
          <t>UTP_Implementación de cámaras en ascensores</t>
        </is>
      </c>
      <c r="AM149" s="3" t="inlineStr">
        <is>
          <t>En decision de Gerencia</t>
        </is>
      </c>
    </row>
    <row r="150">
      <c r="A150" s="3" t="n">
        <v>143</v>
      </c>
      <c r="B150" s="3" t="inlineStr">
        <is>
          <t>SSGG_043</t>
        </is>
      </c>
      <c r="C150" s="3" t="inlineStr">
        <is>
          <t>SSGG</t>
        </is>
      </c>
      <c r="D150" s="3" t="inlineStr">
        <is>
          <t>Alberto Fajardo Corpancho  / Luis Alberto Garcia Durand</t>
        </is>
      </c>
      <c r="F150" s="3" t="inlineStr">
        <is>
          <t>jfajardo@utp,edu,pe / lgarciadd@utp,edu,pe</t>
        </is>
      </c>
      <c r="G150" s="3" t="inlineStr">
        <is>
          <t>960 961 878 / 958 209 824</t>
        </is>
      </c>
      <c r="H150" s="3" t="inlineStr">
        <is>
          <t>Implementación de cámaras en ascensores Parra 1</t>
        </is>
      </c>
      <c r="Q150" s="3" t="inlineStr">
        <is>
          <t>SI</t>
        </is>
      </c>
      <c r="R150" s="3" t="inlineStr">
        <is>
          <t>UTP Arequipa</t>
        </is>
      </c>
      <c r="S150" s="3" t="n">
        <v>70110103</v>
      </c>
      <c r="T150" s="3" t="inlineStr">
        <is>
          <t>UTP PARRA 201-203 -  AREQUIPA</t>
        </is>
      </c>
      <c r="U150" s="3" t="n">
        <v>13000</v>
      </c>
      <c r="W150" s="3" t="inlineStr">
        <is>
          <t>B</t>
        </is>
      </c>
      <c r="X150" s="6" t="n"/>
      <c r="Y150" s="6" t="n"/>
      <c r="Z150" s="6" t="n"/>
      <c r="AA150" s="6" t="n"/>
      <c r="AB150" s="3" t="inlineStr">
        <is>
          <t>CANCELADO</t>
        </is>
      </c>
      <c r="AD150" s="3" t="inlineStr">
        <is>
          <t>Seguridad / Mantenimiento</t>
        </is>
      </c>
      <c r="AI150" s="3" t="inlineStr">
        <is>
          <t>AM001137</t>
        </is>
      </c>
      <c r="AJ150" s="3" t="inlineStr">
        <is>
          <t>UTP_Implementación de cámaras en ascensores</t>
        </is>
      </c>
      <c r="AM150" s="3" t="inlineStr">
        <is>
          <t>En decision de Gerencia</t>
        </is>
      </c>
    </row>
    <row r="151">
      <c r="A151" s="3" t="n">
        <v>144</v>
      </c>
      <c r="B151" s="3" t="inlineStr">
        <is>
          <t>SSGG_044</t>
        </is>
      </c>
      <c r="C151" s="3" t="inlineStr">
        <is>
          <t>SSGG</t>
        </is>
      </c>
      <c r="D151" s="3" t="inlineStr">
        <is>
          <t>Alberto Fajardo Corpancho  / Luis Alberto Garcia Durand</t>
        </is>
      </c>
      <c r="F151" s="3" t="inlineStr">
        <is>
          <t>jfajardo@utp,edu,pe / lgarciadd@utp,edu,pe</t>
        </is>
      </c>
      <c r="G151" s="3" t="inlineStr">
        <is>
          <t>960 961 878 / 958 209 824</t>
        </is>
      </c>
      <c r="H151" s="3" t="inlineStr">
        <is>
          <t>Implementación de cámaras en ascensores Parra 2</t>
        </is>
      </c>
      <c r="Q151" s="3" t="inlineStr">
        <is>
          <t>SI</t>
        </is>
      </c>
      <c r="R151" s="3" t="inlineStr">
        <is>
          <t>UTP Arequipa</t>
        </is>
      </c>
      <c r="S151" s="3" t="n">
        <v>70110107</v>
      </c>
      <c r="T151" s="3" t="inlineStr">
        <is>
          <t>UTP PARRA WASHINGT 217-219 AREQUIPA</t>
        </is>
      </c>
      <c r="U151" s="3" t="n">
        <v>10400</v>
      </c>
      <c r="W151" s="3" t="inlineStr">
        <is>
          <t>B</t>
        </is>
      </c>
      <c r="X151" s="6" t="n"/>
      <c r="Y151" s="6" t="n"/>
      <c r="Z151" s="6" t="n"/>
      <c r="AA151" s="6" t="n"/>
      <c r="AB151" s="3" t="inlineStr">
        <is>
          <t>CANCELADO</t>
        </is>
      </c>
      <c r="AD151" s="3" t="inlineStr">
        <is>
          <t>Seguridad / Mantenimiento</t>
        </is>
      </c>
      <c r="AI151" s="3" t="inlineStr">
        <is>
          <t>AM001138</t>
        </is>
      </c>
      <c r="AJ151" s="3" t="inlineStr">
        <is>
          <t>UTP_Implementación de cámaras en ascensores</t>
        </is>
      </c>
      <c r="AM151" s="3" t="inlineStr">
        <is>
          <t>Consultar con Alberto</t>
        </is>
      </c>
    </row>
    <row r="152">
      <c r="A152" s="3" t="n">
        <v>145</v>
      </c>
      <c r="B152" s="3" t="inlineStr">
        <is>
          <t>SSGG_045</t>
        </is>
      </c>
      <c r="C152" s="3" t="inlineStr">
        <is>
          <t>SSGG</t>
        </is>
      </c>
      <c r="D152" s="3" t="inlineStr">
        <is>
          <t>Alberto Fajardo Corpancho  / Luis Alberto Garcia Durand</t>
        </is>
      </c>
      <c r="F152" s="3" t="inlineStr">
        <is>
          <t>jfajardo@utp,edu,pe / lgarciadd@utp,edu,pe</t>
        </is>
      </c>
      <c r="G152" s="3" t="inlineStr">
        <is>
          <t>960 961 878 / 958 209 824</t>
        </is>
      </c>
      <c r="H152" s="3" t="inlineStr">
        <is>
          <t>Implementación de cámaras en ascensores Sede central</t>
        </is>
      </c>
      <c r="Q152" s="3" t="inlineStr">
        <is>
          <t>SI</t>
        </is>
      </c>
      <c r="R152" s="3" t="inlineStr">
        <is>
          <t>UTP Lima Centro</t>
        </is>
      </c>
      <c r="S152" s="3" t="n">
        <v>10110201</v>
      </c>
      <c r="T152" s="3" t="inlineStr">
        <is>
          <t>UTP PETITTHOURS 116 -  LIMA</t>
        </is>
      </c>
      <c r="U152" s="3" t="n">
        <v>5200</v>
      </c>
      <c r="W152" s="3" t="inlineStr">
        <is>
          <t>B</t>
        </is>
      </c>
      <c r="X152" s="6" t="n"/>
      <c r="Y152" s="6" t="n"/>
      <c r="Z152" s="6" t="n"/>
      <c r="AA152" s="6" t="n"/>
      <c r="AB152" s="3" t="inlineStr">
        <is>
          <t>CANCELADO</t>
        </is>
      </c>
      <c r="AD152" s="3" t="inlineStr">
        <is>
          <t>Seguridad / Mantenimiento</t>
        </is>
      </c>
      <c r="AI152" s="3" t="inlineStr">
        <is>
          <t>AM001142</t>
        </is>
      </c>
      <c r="AJ152" s="3" t="inlineStr">
        <is>
          <t>UTP_Implementación de cámaras en ascensores</t>
        </is>
      </c>
      <c r="AM152" s="3" t="inlineStr">
        <is>
          <t>Consultar con Alberto</t>
        </is>
      </c>
    </row>
    <row r="153">
      <c r="A153" s="3" t="n">
        <v>146</v>
      </c>
      <c r="B153" s="3" t="inlineStr">
        <is>
          <t>SSGG_046</t>
        </is>
      </c>
      <c r="C153" s="3" t="inlineStr">
        <is>
          <t>SSGG</t>
        </is>
      </c>
      <c r="D153" s="3" t="inlineStr">
        <is>
          <t>Alberto Fajardo Corpancho  / Luis Alberto Garcia Durand</t>
        </is>
      </c>
      <c r="F153" s="3" t="inlineStr">
        <is>
          <t>jfajardo@utp,edu,pe / lgarciadd@utp,edu,pe</t>
        </is>
      </c>
      <c r="G153" s="3" t="inlineStr">
        <is>
          <t>960 961 878 / 958 209 824</t>
        </is>
      </c>
      <c r="H153" s="3" t="inlineStr">
        <is>
          <t>Implementación de cámaras en ascensores Torre II</t>
        </is>
      </c>
      <c r="Q153" s="3" t="inlineStr">
        <is>
          <t>SI</t>
        </is>
      </c>
      <c r="R153" s="3" t="inlineStr">
        <is>
          <t>UTP Lima Centro</t>
        </is>
      </c>
      <c r="S153" s="3" t="n">
        <v>10110204</v>
      </c>
      <c r="T153" s="3" t="inlineStr">
        <is>
          <t>UTP PETIT THOU383-385-TORRE II - LIMA</t>
        </is>
      </c>
      <c r="U153" s="3" t="n">
        <v>7800</v>
      </c>
      <c r="W153" s="3" t="inlineStr">
        <is>
          <t>A</t>
        </is>
      </c>
      <c r="X153" s="6" t="n"/>
      <c r="Y153" s="6" t="n"/>
      <c r="Z153" s="6" t="n"/>
      <c r="AA153" s="6" t="n"/>
      <c r="AB153" s="3" t="inlineStr">
        <is>
          <t>CANCELADO</t>
        </is>
      </c>
      <c r="AD153" s="3" t="inlineStr">
        <is>
          <t>Seguridad / Mantenimiento</t>
        </is>
      </c>
      <c r="AI153" s="3" t="inlineStr">
        <is>
          <t>AM001140</t>
        </is>
      </c>
      <c r="AJ153" s="3" t="inlineStr">
        <is>
          <t>UTP_Implementación de cámaras en ascensores</t>
        </is>
      </c>
      <c r="AM153" s="3" t="inlineStr">
        <is>
          <t>Pendiente Alberto Fajardo</t>
        </is>
      </c>
    </row>
    <row r="154">
      <c r="A154" s="3" t="n">
        <v>147</v>
      </c>
      <c r="B154" s="3" t="inlineStr">
        <is>
          <t>SSGG_047</t>
        </is>
      </c>
      <c r="C154" s="3" t="inlineStr">
        <is>
          <t>SSGG</t>
        </is>
      </c>
      <c r="D154" s="3" t="inlineStr">
        <is>
          <t xml:space="preserve">Alberto Fajardo Corpancho </t>
        </is>
      </c>
      <c r="F154" s="3" t="inlineStr">
        <is>
          <t>jfajardo@utp,edu,pe</t>
        </is>
      </c>
      <c r="G154" s="3" t="inlineStr">
        <is>
          <t>960 961 878</t>
        </is>
      </c>
      <c r="H154" s="3" t="inlineStr">
        <is>
          <t>Implementación de tranqueras vehiculares faltantes</t>
        </is>
      </c>
      <c r="Q154" s="3" t="inlineStr">
        <is>
          <t>SI</t>
        </is>
      </c>
      <c r="R154" s="3" t="inlineStr">
        <is>
          <t>UTP SJL</t>
        </is>
      </c>
      <c r="S154" s="3" t="n">
        <v>10220110</v>
      </c>
      <c r="T154" s="3" t="inlineStr">
        <is>
          <t>UTP AV,SOL SUB LT 13B MZG SJL - LIMA</t>
        </is>
      </c>
      <c r="U154" s="3" t="n">
        <v>12550.78</v>
      </c>
      <c r="V154" s="3" t="n">
        <v>12550.78</v>
      </c>
      <c r="W154" s="3" t="inlineStr">
        <is>
          <t>A</t>
        </is>
      </c>
      <c r="X154" s="4" t="n">
        <v>46082</v>
      </c>
      <c r="Y154" s="4" t="n">
        <v>46172</v>
      </c>
      <c r="Z154" s="4" t="n">
        <v>46082</v>
      </c>
      <c r="AA154" s="4" t="n">
        <v>46157</v>
      </c>
      <c r="AB154" s="3" t="inlineStr">
        <is>
          <t>EJECUTADO</t>
        </is>
      </c>
      <c r="AC154" s="3" t="inlineStr">
        <is>
          <t>EJECUTADO</t>
        </is>
      </c>
      <c r="AD154" s="3" t="inlineStr">
        <is>
          <t>Seguridad</t>
        </is>
      </c>
      <c r="AE154" s="3" t="inlineStr">
        <is>
          <t>SC-0000115151-2026</t>
        </is>
      </c>
      <c r="AF154" s="7" t="n">
        <v>46049</v>
      </c>
      <c r="AG154" s="3" t="inlineStr">
        <is>
          <t>OC-0000122721-2026</t>
        </is>
      </c>
      <c r="AH154" s="7" t="n">
        <v>46086</v>
      </c>
      <c r="AI154" s="3" t="inlineStr">
        <is>
          <t>PROY1290</t>
        </is>
      </c>
      <c r="AJ154" s="3" t="inlineStr">
        <is>
          <t>UTP_Implementación de tranqueras vehiculares faltantes</t>
        </is>
      </c>
      <c r="AM154" s="3" t="inlineStr">
        <is>
          <t>NR ENVIADA POR SEG,</t>
        </is>
      </c>
    </row>
    <row r="155">
      <c r="A155" s="3" t="n">
        <v>148</v>
      </c>
      <c r="B155" s="3" t="inlineStr">
        <is>
          <t>SSGG_048</t>
        </is>
      </c>
      <c r="C155" s="3" t="inlineStr">
        <is>
          <t>SSGG</t>
        </is>
      </c>
      <c r="D155" s="3" t="inlineStr">
        <is>
          <t xml:space="preserve">Alberto Fajardo Corpancho </t>
        </is>
      </c>
      <c r="F155" s="3" t="inlineStr">
        <is>
          <t>jfajardo@utp,edu,pe</t>
        </is>
      </c>
      <c r="G155" s="3" t="inlineStr">
        <is>
          <t>960 961 878</t>
        </is>
      </c>
      <c r="H155" s="3" t="inlineStr">
        <is>
          <t>Implementación de tranqueras vehiculares faltantes</t>
        </is>
      </c>
      <c r="Q155" s="3" t="inlineStr">
        <is>
          <t>SI</t>
        </is>
      </c>
      <c r="R155" s="3" t="inlineStr">
        <is>
          <t>UTP Lima Sur</t>
        </is>
      </c>
      <c r="S155" s="3" t="n">
        <v>10220106</v>
      </c>
      <c r="T155" s="3" t="inlineStr">
        <is>
          <t>UTP EL TRIUNFO S/N-VILLA SALVA - LIMA</t>
        </is>
      </c>
      <c r="U155" s="3" t="n">
        <v>19259.85</v>
      </c>
      <c r="V155" s="3" t="n">
        <v>19259.85</v>
      </c>
      <c r="W155" s="3" t="inlineStr">
        <is>
          <t>A</t>
        </is>
      </c>
      <c r="X155" s="4" t="n">
        <v>46082</v>
      </c>
      <c r="Y155" s="4" t="n">
        <v>46264</v>
      </c>
      <c r="Z155" s="4" t="n">
        <v>46082</v>
      </c>
      <c r="AA155" s="4" t="n">
        <v>46157</v>
      </c>
      <c r="AB155" s="3" t="inlineStr">
        <is>
          <t>EJECUTADO</t>
        </is>
      </c>
      <c r="AD155" s="3" t="inlineStr">
        <is>
          <t>Seguridad</t>
        </is>
      </c>
      <c r="AE155" s="3" t="inlineStr">
        <is>
          <t>SC-0000115151-2026</t>
        </is>
      </c>
      <c r="AF155" s="7" t="n">
        <v>46049</v>
      </c>
      <c r="AG155" s="3" t="inlineStr">
        <is>
          <t>OC-0000122725-2026</t>
        </is>
      </c>
      <c r="AH155" s="7" t="n">
        <v>46086</v>
      </c>
      <c r="AI155" s="3" t="inlineStr">
        <is>
          <t>PROY1291</t>
        </is>
      </c>
      <c r="AJ155" s="3" t="inlineStr">
        <is>
          <t>UTP_Implementación de tranqueras vehiculares faltantes</t>
        </is>
      </c>
      <c r="AM155" s="3" t="inlineStr">
        <is>
          <t>Consultar con Alberto</t>
        </is>
      </c>
    </row>
    <row r="156">
      <c r="A156" s="3" t="n">
        <v>149</v>
      </c>
      <c r="B156" s="3" t="inlineStr">
        <is>
          <t>SSGG_049</t>
        </is>
      </c>
      <c r="C156" s="3" t="inlineStr">
        <is>
          <t>SSGG</t>
        </is>
      </c>
      <c r="D156" s="3" t="inlineStr">
        <is>
          <t xml:space="preserve">Alberto Fajardo Corpancho </t>
        </is>
      </c>
      <c r="F156" s="3" t="inlineStr">
        <is>
          <t>jfajardo@utp,edu,pe</t>
        </is>
      </c>
      <c r="G156" s="3" t="inlineStr">
        <is>
          <t>960 961 878</t>
        </is>
      </c>
      <c r="H156" s="3" t="inlineStr">
        <is>
          <t>Implementación de tranqueras vehiculares faltantes</t>
        </is>
      </c>
      <c r="Q156" s="3" t="inlineStr">
        <is>
          <t>SI</t>
        </is>
      </c>
      <c r="R156" s="3" t="inlineStr">
        <is>
          <t>UTP Chiclayo</t>
        </is>
      </c>
      <c r="S156" s="3" t="n">
        <v>70120201</v>
      </c>
      <c r="T156" s="3" t="inlineStr">
        <is>
          <t>UTP AV, PROGRESO CON AV, EVITAMIENTO S/N  - CHICLAYO</t>
        </is>
      </c>
      <c r="U156" s="3" t="n">
        <v>38804.38</v>
      </c>
      <c r="V156" s="3" t="n">
        <v>31222.07</v>
      </c>
      <c r="W156" s="3" t="inlineStr">
        <is>
          <t>A</t>
        </is>
      </c>
      <c r="X156" s="4" t="n">
        <v>46082</v>
      </c>
      <c r="Y156" s="4" t="n">
        <v>46264</v>
      </c>
      <c r="Z156" s="4" t="n">
        <v>46082</v>
      </c>
      <c r="AA156" s="6" t="n"/>
      <c r="AB156" s="3" t="inlineStr">
        <is>
          <t>EJECUTADO</t>
        </is>
      </c>
      <c r="AD156" s="3" t="inlineStr">
        <is>
          <t>Seguridad</t>
        </is>
      </c>
      <c r="AE156" s="3" t="inlineStr">
        <is>
          <t>SC-0000115151-2026 / SC-0000123130-2026 /SC-0000127922-2026</t>
        </is>
      </c>
      <c r="AF156" s="3" t="inlineStr">
        <is>
          <t>27/01 / 09/04 / 14/05</t>
        </is>
      </c>
      <c r="AG156" s="3" t="inlineStr">
        <is>
          <t xml:space="preserve"> OC-0000122719-2026 / OC-0000127176-2026 / OC-0000130655-2026</t>
        </is>
      </c>
      <c r="AH156" s="3" t="inlineStr">
        <is>
          <t>05/03 / 21/04 /18/05</t>
        </is>
      </c>
      <c r="AI156" s="3" t="inlineStr">
        <is>
          <t>PROY1294</t>
        </is>
      </c>
      <c r="AJ156" s="3" t="inlineStr">
        <is>
          <t>UTP_Implementación de tranqueras vehiculares faltantes</t>
        </is>
      </c>
      <c r="AM156" s="3" t="inlineStr">
        <is>
          <t>SC-0000127922-2026 (Bases de concreto) / El presupuesto se amplia a 31222,07</t>
        </is>
      </c>
      <c r="AO156" s="3" t="inlineStr">
        <is>
          <t>El presupuesto adicional sale de Laboratorios - Sala Audiencias</t>
        </is>
      </c>
    </row>
    <row r="157">
      <c r="A157" s="3" t="n">
        <v>150</v>
      </c>
      <c r="B157" s="3" t="inlineStr">
        <is>
          <t>SSGG_050</t>
        </is>
      </c>
      <c r="C157" s="3" t="inlineStr">
        <is>
          <t>SSGG</t>
        </is>
      </c>
      <c r="D157" s="3" t="inlineStr">
        <is>
          <t xml:space="preserve">Alberto Fajardo Corpancho </t>
        </is>
      </c>
      <c r="F157" s="3" t="inlineStr">
        <is>
          <t>jfajardo@utp,edu,pe</t>
        </is>
      </c>
      <c r="G157" s="3" t="inlineStr">
        <is>
          <t>960 961 878</t>
        </is>
      </c>
      <c r="H157" s="3" t="inlineStr">
        <is>
          <t>Implementación de tranqueras vehiculares faltantes Arequipa Parra 1</t>
        </is>
      </c>
      <c r="Q157" s="3" t="inlineStr">
        <is>
          <t>SI</t>
        </is>
      </c>
      <c r="R157" s="3" t="inlineStr">
        <is>
          <t>UTP Arequipa</t>
        </is>
      </c>
      <c r="S157" s="3" t="n">
        <v>70110103</v>
      </c>
      <c r="T157" s="3" t="inlineStr">
        <is>
          <t>UTP PARRA 201-203 -  AREQUIPA</t>
        </is>
      </c>
      <c r="U157" s="3" t="n">
        <v>32269.72</v>
      </c>
      <c r="V157" s="3" t="n">
        <v>32269.72</v>
      </c>
      <c r="W157" s="3" t="inlineStr">
        <is>
          <t>A</t>
        </is>
      </c>
      <c r="X157" s="4" t="n">
        <v>46082</v>
      </c>
      <c r="Y157" s="4" t="n">
        <v>46264</v>
      </c>
      <c r="Z157" s="4" t="n">
        <v>46082</v>
      </c>
      <c r="AA157" s="6" t="n"/>
      <c r="AB157" s="3" t="inlineStr">
        <is>
          <t>EJECUTADO</t>
        </is>
      </c>
      <c r="AD157" s="3" t="inlineStr">
        <is>
          <t>Seguridad</t>
        </is>
      </c>
      <c r="AE157" s="3" t="inlineStr">
        <is>
          <t>SC-0000115151-2026 / SC-0000127934-2026</t>
        </is>
      </c>
      <c r="AF157" s="3" t="inlineStr">
        <is>
          <t>27/01 / 14/05</t>
        </is>
      </c>
      <c r="AG157" s="3" t="inlineStr">
        <is>
          <t>OC-0000122720-2026</t>
        </is>
      </c>
      <c r="AH157" s="7" t="n">
        <v>46086</v>
      </c>
      <c r="AI157" s="3" t="inlineStr">
        <is>
          <t>PROY1293</t>
        </is>
      </c>
      <c r="AJ157" s="3" t="inlineStr">
        <is>
          <t>UTP_Implementación de tranqueras vehiculares faltantes</t>
        </is>
      </c>
      <c r="AM157" s="3" t="inlineStr">
        <is>
          <t>El presupuesto se amplia a 24373,41</t>
        </is>
      </c>
      <c r="AO157" s="3" t="inlineStr">
        <is>
          <t>El presupuesto adicional sale de Laboratorios - Sala Audiencias</t>
        </is>
      </c>
    </row>
    <row r="158">
      <c r="A158" s="3" t="n">
        <v>151</v>
      </c>
      <c r="B158" s="3" t="inlineStr">
        <is>
          <t>SSGG_051</t>
        </is>
      </c>
      <c r="C158" s="3" t="inlineStr">
        <is>
          <t>SSGG</t>
        </is>
      </c>
      <c r="D158" s="3" t="inlineStr">
        <is>
          <t xml:space="preserve">Alberto Fajardo Corpancho </t>
        </is>
      </c>
      <c r="F158" s="3" t="inlineStr">
        <is>
          <t>jfajardo@utp,edu,pe</t>
        </is>
      </c>
      <c r="G158" s="3" t="inlineStr">
        <is>
          <t>960 961 878</t>
        </is>
      </c>
      <c r="H158" s="3" t="inlineStr">
        <is>
          <t>Implementación de tranqueras vehiculares faltantes Arequipa TyA</t>
        </is>
      </c>
      <c r="Q158" s="3" t="inlineStr">
        <is>
          <t>SI</t>
        </is>
      </c>
      <c r="R158" s="3" t="inlineStr">
        <is>
          <t>UTP Arequipa</t>
        </is>
      </c>
      <c r="S158" s="3" t="n">
        <v>70110101</v>
      </c>
      <c r="T158" s="3" t="inlineStr">
        <is>
          <t>UTP TACNA-ARICA 158-160-162 - AREQUIPA</t>
        </is>
      </c>
      <c r="U158" s="3" t="n">
        <v>25027.76</v>
      </c>
      <c r="V158" s="3" t="n">
        <v>25027.76</v>
      </c>
      <c r="W158" s="3" t="inlineStr">
        <is>
          <t>A</t>
        </is>
      </c>
      <c r="X158" s="4" t="n">
        <v>46082</v>
      </c>
      <c r="Y158" s="4" t="n">
        <v>46264</v>
      </c>
      <c r="Z158" s="4" t="n">
        <v>46082</v>
      </c>
      <c r="AA158" s="6" t="n"/>
      <c r="AB158" s="3" t="inlineStr">
        <is>
          <t>EJECUTADO</t>
        </is>
      </c>
      <c r="AD158" s="3" t="inlineStr">
        <is>
          <t>Seguridad</t>
        </is>
      </c>
      <c r="AE158" s="3" t="inlineStr">
        <is>
          <t>SC-0000119817-2026 / SC-0000127948-2026</t>
        </is>
      </c>
      <c r="AF158" s="3" t="inlineStr">
        <is>
          <t>10/03 / 14/05</t>
        </is>
      </c>
      <c r="AG158" s="3" t="inlineStr">
        <is>
          <t>OC-0000123356-2026</t>
        </is>
      </c>
      <c r="AH158" s="7" t="n">
        <v>46092</v>
      </c>
      <c r="AI158" s="3" t="inlineStr">
        <is>
          <t>PROY1292</t>
        </is>
      </c>
      <c r="AJ158" s="3" t="inlineStr">
        <is>
          <t>UTP_Implementación de tranqueras vehiculares faltantes</t>
        </is>
      </c>
      <c r="AM158" s="3" t="inlineStr">
        <is>
          <t>El presupuesto se amplia a 32924,07</t>
        </is>
      </c>
      <c r="AO158" s="3" t="inlineStr">
        <is>
          <t>El presupuesto adicional sale de Laboratorios - Sala Audiencias</t>
        </is>
      </c>
    </row>
    <row r="159">
      <c r="A159" s="3" t="n">
        <v>152</v>
      </c>
      <c r="B159" s="3" t="inlineStr">
        <is>
          <t>SSGG_052</t>
        </is>
      </c>
      <c r="C159" s="3" t="inlineStr">
        <is>
          <t>SSGG</t>
        </is>
      </c>
      <c r="D159" s="3" t="inlineStr">
        <is>
          <t xml:space="preserve">Alberto Fajardo Corpancho </t>
        </is>
      </c>
      <c r="F159" s="3" t="inlineStr">
        <is>
          <t>jfajardo@utp,edu,pe</t>
        </is>
      </c>
      <c r="G159" s="3" t="inlineStr">
        <is>
          <t>960 961 878</t>
        </is>
      </c>
      <c r="H159" s="3" t="inlineStr">
        <is>
          <t>Implementación de tranqueras vehiculares faltantes LCT TTA</t>
        </is>
      </c>
      <c r="Q159" s="3" t="inlineStr">
        <is>
          <t>SI</t>
        </is>
      </c>
      <c r="R159" s="3" t="inlineStr">
        <is>
          <t>UTP Lima Centro</t>
        </is>
      </c>
      <c r="S159" s="3" t="n">
        <v>10110205</v>
      </c>
      <c r="T159" s="3" t="inlineStr">
        <is>
          <t>UTP AV, AREQUIPA 265-279 - LIMA</t>
        </is>
      </c>
      <c r="U159" s="3" t="n">
        <v>15268.94</v>
      </c>
      <c r="V159" s="3" t="n">
        <v>15268.94</v>
      </c>
      <c r="W159" s="3" t="inlineStr">
        <is>
          <t>A</t>
        </is>
      </c>
      <c r="X159" s="4" t="n">
        <v>46082</v>
      </c>
      <c r="Y159" s="4" t="n">
        <v>46172</v>
      </c>
      <c r="Z159" s="4" t="n">
        <v>46082</v>
      </c>
      <c r="AA159" s="4" t="n">
        <v>46157</v>
      </c>
      <c r="AB159" s="3" t="inlineStr">
        <is>
          <t>EJECUTADO</t>
        </is>
      </c>
      <c r="AC159" s="3" t="inlineStr">
        <is>
          <t>EJECUTADO</t>
        </is>
      </c>
      <c r="AD159" s="3" t="inlineStr">
        <is>
          <t>Seguridad</t>
        </is>
      </c>
      <c r="AE159" s="3" t="inlineStr">
        <is>
          <t xml:space="preserve"> SC-0000115151-2026 / SC-0000123138-2026</t>
        </is>
      </c>
      <c r="AF159" s="3" t="inlineStr">
        <is>
          <t>27/01 / 09/04</t>
        </is>
      </c>
      <c r="AG159" s="3" t="inlineStr">
        <is>
          <t xml:space="preserve"> OC-0000122722-2026 / OC-0000127178-2026</t>
        </is>
      </c>
      <c r="AH159" s="3" t="inlineStr">
        <is>
          <t>05/03 / 21/04</t>
        </is>
      </c>
      <c r="AI159" s="3" t="inlineStr">
        <is>
          <t>PROY1289</t>
        </is>
      </c>
      <c r="AJ159" s="3" t="inlineStr">
        <is>
          <t>UTP_Implementación de tranqueras vehiculares faltantes</t>
        </is>
      </c>
    </row>
    <row r="160">
      <c r="A160" s="3" t="n">
        <v>153</v>
      </c>
      <c r="B160" s="3" t="inlineStr">
        <is>
          <t>SSGG_053</t>
        </is>
      </c>
      <c r="C160" s="3" t="inlineStr">
        <is>
          <t>SSGG</t>
        </is>
      </c>
      <c r="D160" s="3" t="inlineStr">
        <is>
          <t xml:space="preserve">Alberto Fajardo Corpancho </t>
        </is>
      </c>
      <c r="F160" s="3" t="inlineStr">
        <is>
          <t>jfajardo@utp,edu,pe</t>
        </is>
      </c>
      <c r="G160" s="3" t="inlineStr">
        <is>
          <t>960 961 878</t>
        </is>
      </c>
      <c r="H160" s="3" t="inlineStr">
        <is>
          <t>Implementación de tranqueras vehiculares faltantes Torre II</t>
        </is>
      </c>
      <c r="Q160" s="3" t="inlineStr">
        <is>
          <t>SI</t>
        </is>
      </c>
      <c r="R160" s="3" t="inlineStr">
        <is>
          <t>UTP Lima Centro</t>
        </is>
      </c>
      <c r="S160" s="3" t="n">
        <v>10110204</v>
      </c>
      <c r="T160" s="3" t="inlineStr">
        <is>
          <t>UTP PETIT THOU383-385-TORRE II - LIMA</t>
        </is>
      </c>
      <c r="U160" s="3" t="n">
        <v>15833.54</v>
      </c>
      <c r="V160" s="3" t="n">
        <v>15833.54</v>
      </c>
      <c r="W160" s="3" t="inlineStr">
        <is>
          <t>A</t>
        </is>
      </c>
      <c r="X160" s="4" t="n">
        <v>46082</v>
      </c>
      <c r="Y160" s="4" t="n">
        <v>46172</v>
      </c>
      <c r="Z160" s="4" t="n">
        <v>46082</v>
      </c>
      <c r="AA160" s="4" t="n">
        <v>46157</v>
      </c>
      <c r="AB160" s="3" t="inlineStr">
        <is>
          <t>EJECUTADO</t>
        </is>
      </c>
      <c r="AC160" s="3" t="inlineStr">
        <is>
          <t>PENDIENTE</t>
        </is>
      </c>
      <c r="AD160" s="3" t="inlineStr">
        <is>
          <t>Seguridad</t>
        </is>
      </c>
      <c r="AE160" s="3" t="inlineStr">
        <is>
          <t>SC-0000115151-2026 / SC-0000123459-2026</t>
        </is>
      </c>
      <c r="AF160" s="7" t="n">
        <v>46049</v>
      </c>
      <c r="AG160" s="3" t="inlineStr">
        <is>
          <t>OC-0000122723-2026 / OC-0000127077-2026</t>
        </is>
      </c>
      <c r="AH160" s="3" t="inlineStr">
        <is>
          <t>05/03 / 20/04</t>
        </is>
      </c>
      <c r="AI160" s="3" t="inlineStr">
        <is>
          <t>PROY1288</t>
        </is>
      </c>
      <c r="AJ160" s="3" t="inlineStr">
        <is>
          <t>UTP_PETTI_THOUARS383_Implementación de tranqueras vehiculares faltantes</t>
        </is>
      </c>
      <c r="AM160" s="3" t="inlineStr">
        <is>
          <t xml:space="preserve">PENDIENTE ENVIO DE NR OC-0000127077-2026 </t>
        </is>
      </c>
    </row>
    <row r="161">
      <c r="A161" s="3" t="n">
        <v>154</v>
      </c>
      <c r="B161" s="3" t="inlineStr">
        <is>
          <t>SSGG_054</t>
        </is>
      </c>
      <c r="C161" s="3" t="inlineStr">
        <is>
          <t>SSGG</t>
        </is>
      </c>
      <c r="D161" s="3" t="inlineStr">
        <is>
          <t xml:space="preserve">Alberto Fajardo Corpancho </t>
        </is>
      </c>
      <c r="F161" s="3" t="inlineStr">
        <is>
          <t>jfajardo@utp,edu,pe</t>
        </is>
      </c>
      <c r="G161" s="3" t="inlineStr">
        <is>
          <t>960 961 878</t>
        </is>
      </c>
      <c r="H161" s="3" t="inlineStr">
        <is>
          <t>Implementar cámaras en puntos ciegos (15)</t>
        </is>
      </c>
      <c r="Q161" s="3" t="inlineStr">
        <is>
          <t>SI</t>
        </is>
      </c>
      <c r="R161" s="3" t="inlineStr">
        <is>
          <t>UTP Lima Este</t>
        </is>
      </c>
      <c r="S161" s="3" t="n">
        <v>10220108</v>
      </c>
      <c r="T161" s="3" t="inlineStr">
        <is>
          <t>UTP N,AYLLON KM11,60 LOTE 96ATE -LIMA</t>
        </is>
      </c>
      <c r="U161" s="3" t="n">
        <v>34676.65</v>
      </c>
      <c r="V161" s="3" t="n">
        <v>21425.39</v>
      </c>
      <c r="W161" s="3" t="inlineStr">
        <is>
          <t>A</t>
        </is>
      </c>
      <c r="X161" s="4" t="n">
        <v>46113</v>
      </c>
      <c r="Y161" s="4" t="n">
        <v>46264</v>
      </c>
      <c r="Z161" s="4" t="n">
        <v>46142</v>
      </c>
      <c r="AA161" s="6" t="n"/>
      <c r="AB161" s="3" t="inlineStr">
        <is>
          <t>EJECUTADO</t>
        </is>
      </c>
      <c r="AD161" s="3" t="inlineStr">
        <is>
          <t>Seguridad</t>
        </is>
      </c>
      <c r="AE161" s="3" t="inlineStr">
        <is>
          <t>SC-0000124587-2026 / SC-0000136062-2026</t>
        </is>
      </c>
      <c r="AF161" s="3" t="inlineStr">
        <is>
          <t>21/04 / 07/07</t>
        </is>
      </c>
      <c r="AG161" s="3" t="inlineStr">
        <is>
          <t xml:space="preserve">OC-0000127435-2026 / OC-0000127436-2026 </t>
        </is>
      </c>
      <c r="AH161" s="7" t="n">
        <v>46135</v>
      </c>
      <c r="AI161" s="3" t="inlineStr">
        <is>
          <t>AM001134</t>
        </is>
      </c>
      <c r="AJ161" s="3" t="inlineStr">
        <is>
          <t>UTP_Implementar cámaras en puntos ciegos (15)</t>
        </is>
      </c>
      <c r="AM161" s="3" t="inlineStr">
        <is>
          <t>SC-0000136062-2026 (SWITCHES)</t>
        </is>
      </c>
    </row>
    <row r="162">
      <c r="A162" s="3" t="n">
        <v>155</v>
      </c>
      <c r="B162" s="3" t="inlineStr">
        <is>
          <t>SSGG_055</t>
        </is>
      </c>
      <c r="C162" s="3" t="inlineStr">
        <is>
          <t>SSGG</t>
        </is>
      </c>
      <c r="D162" s="3" t="inlineStr">
        <is>
          <t xml:space="preserve">Alberto Fajardo Corpancho </t>
        </is>
      </c>
      <c r="F162" s="3" t="inlineStr">
        <is>
          <t>jfajardo@utp,edu,pe</t>
        </is>
      </c>
      <c r="G162" s="3" t="inlineStr">
        <is>
          <t>960 961 878</t>
        </is>
      </c>
      <c r="H162" s="3" t="inlineStr">
        <is>
          <t>Implementar cámaras en puntos ciegos (20) Arequipa TyA</t>
        </is>
      </c>
      <c r="Q162" s="3" t="inlineStr">
        <is>
          <t>SI</t>
        </is>
      </c>
      <c r="R162" s="3" t="inlineStr">
        <is>
          <t>UTP Arequipa</t>
        </is>
      </c>
      <c r="S162" s="3" t="n">
        <v>70110101</v>
      </c>
      <c r="T162" s="3" t="inlineStr">
        <is>
          <t>UTP TACNA-ARICA 158-160-162 - AREQUIPA</t>
        </is>
      </c>
      <c r="U162" s="3" t="n">
        <v>38736.93</v>
      </c>
      <c r="V162" s="3" t="n">
        <v>25485.67</v>
      </c>
      <c r="W162" s="3" t="inlineStr">
        <is>
          <t>A</t>
        </is>
      </c>
      <c r="X162" s="4" t="n">
        <v>46174</v>
      </c>
      <c r="Y162" s="4" t="n">
        <v>46310</v>
      </c>
      <c r="Z162" s="4" t="n">
        <v>46142</v>
      </c>
      <c r="AA162" s="6" t="n"/>
      <c r="AB162" s="3" t="inlineStr">
        <is>
          <t>EN PROCESO</t>
        </is>
      </c>
      <c r="AD162" s="3" t="inlineStr">
        <is>
          <t>Seguridad</t>
        </is>
      </c>
      <c r="AE162" s="3" t="inlineStr">
        <is>
          <t>SC-0000124598-2026 / SC-0000136068-2026</t>
        </is>
      </c>
      <c r="AF162" s="3" t="inlineStr">
        <is>
          <t>21/04 / 07/07</t>
        </is>
      </c>
      <c r="AG162" s="3" t="inlineStr">
        <is>
          <t>OC-0000127431-2026 / OC-0000127432-2026</t>
        </is>
      </c>
      <c r="AH162" s="7" t="n">
        <v>46136</v>
      </c>
      <c r="AI162" s="3" t="inlineStr">
        <is>
          <t>AM001144</t>
        </is>
      </c>
      <c r="AJ162" s="3" t="inlineStr">
        <is>
          <t>UTP_Implementar cámaras en puntos ciegos (20)</t>
        </is>
      </c>
      <c r="AM162" s="3" t="inlineStr">
        <is>
          <t>SC-0000136068-2026 (SWITCHES)</t>
        </is>
      </c>
    </row>
    <row r="163">
      <c r="A163" s="3" t="n">
        <v>156</v>
      </c>
      <c r="B163" s="3" t="inlineStr">
        <is>
          <t>SSGG_056</t>
        </is>
      </c>
      <c r="C163" s="3" t="inlineStr">
        <is>
          <t>SSGG</t>
        </is>
      </c>
      <c r="D163" s="3" t="inlineStr">
        <is>
          <t xml:space="preserve">Alberto Fajardo Corpancho </t>
        </is>
      </c>
      <c r="F163" s="3" t="inlineStr">
        <is>
          <t>jfajardo@utp,edu,pe</t>
        </is>
      </c>
      <c r="G163" s="3" t="inlineStr">
        <is>
          <t>960 961 878</t>
        </is>
      </c>
      <c r="H163" s="3" t="inlineStr">
        <is>
          <t>Implementar cámaras en puntos ciegos (20) LC TTA</t>
        </is>
      </c>
      <c r="Q163" s="3" t="inlineStr">
        <is>
          <t>SI</t>
        </is>
      </c>
      <c r="R163" s="3" t="inlineStr">
        <is>
          <t>UTP Lima Centro</t>
        </is>
      </c>
      <c r="S163" s="3" t="n">
        <v>10110205</v>
      </c>
      <c r="T163" s="3" t="inlineStr">
        <is>
          <t>UTP AV, AREQUIPA 265-279 - LIMA</t>
        </is>
      </c>
      <c r="U163" s="3" t="n">
        <v>69862.31</v>
      </c>
      <c r="V163" s="3" t="n">
        <v>34732.7772</v>
      </c>
      <c r="W163" s="3" t="inlineStr">
        <is>
          <t>A</t>
        </is>
      </c>
      <c r="X163" s="4" t="n">
        <v>46113</v>
      </c>
      <c r="Y163" s="4" t="n">
        <v>46264</v>
      </c>
      <c r="Z163" s="4" t="n">
        <v>46142</v>
      </c>
      <c r="AA163" s="6" t="n"/>
      <c r="AB163" s="3" t="inlineStr">
        <is>
          <t>EJECUTADO</t>
        </is>
      </c>
      <c r="AD163" s="3" t="inlineStr">
        <is>
          <t>Seguridad</t>
        </is>
      </c>
      <c r="AE163" s="3" t="inlineStr">
        <is>
          <t>SC-0000124592-2026 / SC-0000136071-2026</t>
        </is>
      </c>
      <c r="AF163" s="3" t="inlineStr">
        <is>
          <t>21/04 / 07/07</t>
        </is>
      </c>
      <c r="AG163" s="3" t="inlineStr">
        <is>
          <t>OC-0000127433-2026 / OC-0000127434-2026</t>
        </is>
      </c>
      <c r="AH163" s="7" t="n">
        <v>46135</v>
      </c>
      <c r="AI163" s="3" t="inlineStr">
        <is>
          <t>AM001124</t>
        </is>
      </c>
      <c r="AJ163" s="3" t="inlineStr">
        <is>
          <t>UTP_Implementar cámaras en puntos ciegos (20)</t>
        </is>
      </c>
      <c r="AM163" s="3" t="inlineStr">
        <is>
          <t>SC-0000136071-2026 (SWITCHES)/ OC-0000127433-2026 TIENE NR</t>
        </is>
      </c>
    </row>
    <row r="164">
      <c r="A164" s="3" t="n">
        <v>157</v>
      </c>
      <c r="B164" s="3" t="inlineStr">
        <is>
          <t>SSGG_057</t>
        </is>
      </c>
      <c r="C164" s="3" t="inlineStr">
        <is>
          <t>SSGG</t>
        </is>
      </c>
      <c r="D164" s="3" t="inlineStr">
        <is>
          <t xml:space="preserve">Alberto Fajardo Corpancho </t>
        </is>
      </c>
      <c r="F164" s="3" t="inlineStr">
        <is>
          <t>jfajardo@utp,edu,pe</t>
        </is>
      </c>
      <c r="G164" s="3" t="inlineStr">
        <is>
          <t>960 961 878</t>
        </is>
      </c>
      <c r="H164" s="3" t="inlineStr">
        <is>
          <t>Implementar cámaras en puntos ciegos (90)</t>
        </is>
      </c>
      <c r="Q164" s="3" t="inlineStr">
        <is>
          <t>SI</t>
        </is>
      </c>
      <c r="R164" s="3" t="inlineStr">
        <is>
          <t>UTP Chiclayo</t>
        </is>
      </c>
      <c r="S164" s="3" t="n">
        <v>70120201</v>
      </c>
      <c r="T164" s="3" t="inlineStr">
        <is>
          <t>UTP AV, PROGRESO CON AV, EVITAMIENTO S/N  - CHICLAYO</t>
        </is>
      </c>
      <c r="U164" s="3" t="n">
        <v>130652.1</v>
      </c>
      <c r="V164" s="3" t="n">
        <v>104149.58</v>
      </c>
      <c r="W164" s="3" t="inlineStr">
        <is>
          <t>A</t>
        </is>
      </c>
      <c r="X164" s="4" t="n">
        <v>46174</v>
      </c>
      <c r="Y164" s="4" t="n">
        <v>46310</v>
      </c>
      <c r="Z164" s="4" t="n">
        <v>46142</v>
      </c>
      <c r="AA164" s="6" t="n"/>
      <c r="AB164" s="3" t="inlineStr">
        <is>
          <t>EN PROCESO</t>
        </is>
      </c>
      <c r="AD164" s="3" t="inlineStr">
        <is>
          <t>Seguridad</t>
        </is>
      </c>
      <c r="AE164" s="3" t="inlineStr">
        <is>
          <t>SC-0000124599-2026 / SC-0000136073-2026</t>
        </is>
      </c>
      <c r="AF164" s="3" t="inlineStr">
        <is>
          <t>21/04 / 07/07</t>
        </is>
      </c>
      <c r="AG164" s="3" t="inlineStr">
        <is>
          <t>OC-0000127429-2026 / OC-0000127430-2026</t>
        </is>
      </c>
      <c r="AH164" s="7" t="n">
        <v>46135</v>
      </c>
      <c r="AI164" s="3" t="inlineStr">
        <is>
          <t>AM001128</t>
        </is>
      </c>
      <c r="AJ164" s="3" t="inlineStr">
        <is>
          <t>UTP_Implementar cámaras en puntos ciegos (90)</t>
        </is>
      </c>
      <c r="AM164" s="3" t="inlineStr">
        <is>
          <t>SC-0000136073-2026 (SWITCHES)</t>
        </is>
      </c>
    </row>
    <row r="165">
      <c r="A165" s="3" t="n">
        <v>158</v>
      </c>
      <c r="B165" s="3" t="inlineStr">
        <is>
          <t>SSGG_058</t>
        </is>
      </c>
      <c r="C165" s="3" t="inlineStr">
        <is>
          <t>SSGG</t>
        </is>
      </c>
      <c r="D165" s="3" t="inlineStr">
        <is>
          <t xml:space="preserve">Alberto Fajardo Corpancho </t>
        </is>
      </c>
      <c r="F165" s="3" t="inlineStr">
        <is>
          <t>jfajardo@utp,edu,pe</t>
        </is>
      </c>
      <c r="G165" s="3" t="inlineStr">
        <is>
          <t>960 961 878</t>
        </is>
      </c>
      <c r="H165" s="3" t="inlineStr">
        <is>
          <t>Implementar cámaras en puntos ciegos(25) Sede Central</t>
        </is>
      </c>
      <c r="Q165" s="3" t="inlineStr">
        <is>
          <t>SI</t>
        </is>
      </c>
      <c r="R165" s="3" t="inlineStr">
        <is>
          <t>UTP Lima Centro</t>
        </is>
      </c>
      <c r="S165" s="3" t="n">
        <v>10110201</v>
      </c>
      <c r="T165" s="3" t="inlineStr">
        <is>
          <t>UTP PETITTHOURS 116 -  LIMA</t>
        </is>
      </c>
      <c r="U165" s="3" t="n">
        <v>45523.86</v>
      </c>
      <c r="V165" s="3" t="n">
        <v>31999.8</v>
      </c>
      <c r="W165" s="3" t="inlineStr">
        <is>
          <t>A</t>
        </is>
      </c>
      <c r="X165" s="4" t="n">
        <v>46113</v>
      </c>
      <c r="Y165" s="4" t="n">
        <v>46264</v>
      </c>
      <c r="Z165" s="4" t="n">
        <v>46142</v>
      </c>
      <c r="AA165" s="6" t="n"/>
      <c r="AB165" s="3" t="inlineStr">
        <is>
          <t>EJECUTADO</t>
        </is>
      </c>
      <c r="AD165" s="3" t="inlineStr">
        <is>
          <t>Seguridad</t>
        </is>
      </c>
      <c r="AE165" s="3" t="inlineStr">
        <is>
          <t>SC-0000124590-2026 / SC-0000136074-2026</t>
        </is>
      </c>
      <c r="AF165" s="3" t="inlineStr">
        <is>
          <t>21/04 / 07/07</t>
        </is>
      </c>
      <c r="AG165" s="3" t="inlineStr">
        <is>
          <t>OC-0000127437-2026 / OC-0000127438-2026</t>
        </is>
      </c>
      <c r="AH165" s="7" t="n">
        <v>46136</v>
      </c>
      <c r="AI165" s="3" t="inlineStr">
        <is>
          <t>AM001141</t>
        </is>
      </c>
      <c r="AJ165" s="3" t="inlineStr">
        <is>
          <t>UTP_Implementar cámaras en puntos ciegos(25)</t>
        </is>
      </c>
      <c r="AM165" s="3" t="inlineStr">
        <is>
          <t>SC-0000136074-2026 (SWITCHES)/ NR ENVIADA OC-0000127437-2026(</t>
        </is>
      </c>
    </row>
    <row r="166">
      <c r="A166" s="3" t="n">
        <v>159</v>
      </c>
      <c r="B166" s="3" t="inlineStr">
        <is>
          <t>SSGG_059</t>
        </is>
      </c>
      <c r="C166" s="3" t="inlineStr">
        <is>
          <t>SSGG</t>
        </is>
      </c>
      <c r="D166" s="3" t="inlineStr">
        <is>
          <t xml:space="preserve">Alberto Fajardo Corpancho </t>
        </is>
      </c>
      <c r="F166" s="3" t="inlineStr">
        <is>
          <t>jfajardo@utp,edu,pe</t>
        </is>
      </c>
      <c r="G166" s="3" t="inlineStr">
        <is>
          <t>960 961 878</t>
        </is>
      </c>
      <c r="H166" s="3" t="inlineStr">
        <is>
          <t>Instalación de pantalla de 50” en los ingresos de los Campus para complementar el sistema de control de acceso</t>
        </is>
      </c>
      <c r="Q166" s="3" t="inlineStr">
        <is>
          <t>SI</t>
        </is>
      </c>
      <c r="R166" s="3" t="inlineStr">
        <is>
          <t>UTP Lima Norte</t>
        </is>
      </c>
      <c r="S166" s="3" t="n">
        <v>10220111</v>
      </c>
      <c r="T166" s="3" t="inlineStr">
        <is>
          <t>UTP AV,INFANTAS MZ 2E LOTE 28, URB, STA LUISA - LOS OLIVOS</t>
        </is>
      </c>
      <c r="U166" s="3" t="n">
        <v>2500</v>
      </c>
      <c r="W166" s="3" t="inlineStr">
        <is>
          <t>C</t>
        </is>
      </c>
      <c r="X166" s="4" t="n">
        <v>46235</v>
      </c>
      <c r="Y166" s="4" t="n">
        <v>46366</v>
      </c>
      <c r="Z166" s="6" t="n"/>
      <c r="AA166" s="6" t="n"/>
      <c r="AB166" s="3" t="inlineStr">
        <is>
          <t>PENDIENTE</t>
        </is>
      </c>
      <c r="AD166" s="3" t="inlineStr">
        <is>
          <t>Seguridad</t>
        </is>
      </c>
      <c r="AI166" s="3" t="inlineStr">
        <is>
          <t>AM001025</t>
        </is>
      </c>
      <c r="AJ166" s="3" t="inlineStr">
        <is>
          <t>UTP_Instalación de pantalla de 50” en los ingresos de los Campus para complementar el sistema de control de acceso_Lima Norte</t>
        </is>
      </c>
      <c r="AM166" s="3" t="inlineStr">
        <is>
          <t>Desestimada en reevaluación del sistema integral con Plataforma</t>
        </is>
      </c>
    </row>
    <row r="167">
      <c r="A167" s="3" t="n">
        <v>160</v>
      </c>
      <c r="B167" s="3" t="inlineStr">
        <is>
          <t>SSGG_060</t>
        </is>
      </c>
      <c r="C167" s="3" t="inlineStr">
        <is>
          <t>SSGG</t>
        </is>
      </c>
      <c r="D167" s="3" t="inlineStr">
        <is>
          <t xml:space="preserve">Alberto Fajardo Corpancho </t>
        </is>
      </c>
      <c r="F167" s="3" t="inlineStr">
        <is>
          <t>jfajardo@utp,edu,pe</t>
        </is>
      </c>
      <c r="G167" s="3" t="inlineStr">
        <is>
          <t>960 961 878</t>
        </is>
      </c>
      <c r="H167" s="3" t="inlineStr">
        <is>
          <t>Instalación de pantalla de 50” en los ingresos de los Campus para complementar el sistema de control de acceso</t>
        </is>
      </c>
      <c r="Q167" s="3" t="inlineStr">
        <is>
          <t>SI</t>
        </is>
      </c>
      <c r="R167" s="3" t="inlineStr">
        <is>
          <t>UTP Lima Sur</t>
        </is>
      </c>
      <c r="S167" s="3" t="n">
        <v>10220106</v>
      </c>
      <c r="T167" s="3" t="inlineStr">
        <is>
          <t>UTP EL TRIUNFO S/N-VILLA SALVA - LIMA</t>
        </is>
      </c>
      <c r="U167" s="3" t="n">
        <v>2500</v>
      </c>
      <c r="W167" s="3" t="inlineStr">
        <is>
          <t>C</t>
        </is>
      </c>
      <c r="X167" s="4" t="n">
        <v>46235</v>
      </c>
      <c r="Y167" s="4" t="n">
        <v>46366</v>
      </c>
      <c r="Z167" s="6" t="n"/>
      <c r="AA167" s="6" t="n"/>
      <c r="AB167" s="3" t="inlineStr">
        <is>
          <t>PENDIENTE</t>
        </is>
      </c>
      <c r="AD167" s="3" t="inlineStr">
        <is>
          <t>Seguridad</t>
        </is>
      </c>
      <c r="AI167" s="3" t="inlineStr">
        <is>
          <t>AM001026</t>
        </is>
      </c>
      <c r="AJ167" s="3" t="inlineStr">
        <is>
          <t>UTP_Instalación de pantalla de 50” en los ingresos de los Campus para complementar el sistema de control de acceso_Lima Sur</t>
        </is>
      </c>
      <c r="AM167" s="3" t="inlineStr">
        <is>
          <t>Desestimada en reevaluación del sistema integral con Plataforma</t>
        </is>
      </c>
    </row>
    <row r="168">
      <c r="A168" s="3" t="n">
        <v>161</v>
      </c>
      <c r="B168" s="3" t="inlineStr">
        <is>
          <t>SSGG_061</t>
        </is>
      </c>
      <c r="C168" s="3" t="inlineStr">
        <is>
          <t>SSGG</t>
        </is>
      </c>
      <c r="D168" s="3" t="inlineStr">
        <is>
          <t xml:space="preserve">Alberto Fajardo Corpancho </t>
        </is>
      </c>
      <c r="F168" s="3" t="inlineStr">
        <is>
          <t>jfajardo@utp,edu,pe</t>
        </is>
      </c>
      <c r="G168" s="3" t="inlineStr">
        <is>
          <t>960 961 878</t>
        </is>
      </c>
      <c r="H168" s="3" t="inlineStr">
        <is>
          <t>Instalación de pantalla de 50” en los ingresos de los Campus para complementar el sistema de control de acceso</t>
        </is>
      </c>
      <c r="Q168" s="3" t="inlineStr">
        <is>
          <t>SI</t>
        </is>
      </c>
      <c r="R168" s="3" t="inlineStr">
        <is>
          <t>UTP Lima Este</t>
        </is>
      </c>
      <c r="S168" s="3" t="n">
        <v>10220108</v>
      </c>
      <c r="T168" s="3" t="inlineStr">
        <is>
          <t>UTP N,AYLLON KM11,60 LOTE 96ATE -LIMA</t>
        </is>
      </c>
      <c r="U168" s="3" t="n">
        <v>2500</v>
      </c>
      <c r="W168" s="3" t="inlineStr">
        <is>
          <t>C</t>
        </is>
      </c>
      <c r="X168" s="4" t="n">
        <v>46235</v>
      </c>
      <c r="Y168" s="4" t="n">
        <v>46366</v>
      </c>
      <c r="Z168" s="6" t="n"/>
      <c r="AA168" s="6" t="n"/>
      <c r="AB168" s="3" t="inlineStr">
        <is>
          <t>PENDIENTE</t>
        </is>
      </c>
      <c r="AD168" s="3" t="inlineStr">
        <is>
          <t>Seguridad</t>
        </is>
      </c>
      <c r="AI168" s="3" t="inlineStr">
        <is>
          <t>AM001030</t>
        </is>
      </c>
      <c r="AJ168" s="3" t="inlineStr">
        <is>
          <t>UTP_Instalación de pantalla de 50” en los ingresos de los Campus para complementar el sistema de control de acceso_Lima Este</t>
        </is>
      </c>
      <c r="AM168" s="3" t="inlineStr">
        <is>
          <t>Desestimada en reevaluación del sistema integral con Plataforma</t>
        </is>
      </c>
    </row>
    <row r="169">
      <c r="A169" s="3" t="n">
        <v>162</v>
      </c>
      <c r="B169" s="3" t="inlineStr">
        <is>
          <t>SSGG_062</t>
        </is>
      </c>
      <c r="C169" s="3" t="inlineStr">
        <is>
          <t>SSGG</t>
        </is>
      </c>
      <c r="D169" s="3" t="inlineStr">
        <is>
          <t xml:space="preserve">Alberto Fajardo Corpancho </t>
        </is>
      </c>
      <c r="F169" s="3" t="inlineStr">
        <is>
          <t>jfajardo@utp,edu,pe</t>
        </is>
      </c>
      <c r="G169" s="3" t="inlineStr">
        <is>
          <t>960 961 878</t>
        </is>
      </c>
      <c r="H169" s="3" t="inlineStr">
        <is>
          <t>Instalación de pantalla de 50” en los ingresos de los Campus para complementar el sistema de control de acceso</t>
        </is>
      </c>
      <c r="Q169" s="3" t="inlineStr">
        <is>
          <t>SI</t>
        </is>
      </c>
      <c r="R169" s="3" t="inlineStr">
        <is>
          <t>UTP SJL</t>
        </is>
      </c>
      <c r="S169" s="3" t="n">
        <v>10220110</v>
      </c>
      <c r="T169" s="3" t="inlineStr">
        <is>
          <t>UTP AV,SOL SUB LT 13B MZG SJL - LIMA</t>
        </is>
      </c>
      <c r="U169" s="3" t="n">
        <v>2500</v>
      </c>
      <c r="W169" s="3" t="inlineStr">
        <is>
          <t>C</t>
        </is>
      </c>
      <c r="X169" s="4" t="n">
        <v>46235</v>
      </c>
      <c r="Y169" s="4" t="n">
        <v>46366</v>
      </c>
      <c r="Z169" s="6" t="n"/>
      <c r="AA169" s="6" t="n"/>
      <c r="AB169" s="3" t="inlineStr">
        <is>
          <t>PENDIENTE</t>
        </is>
      </c>
      <c r="AD169" s="3" t="inlineStr">
        <is>
          <t>Seguridad</t>
        </is>
      </c>
      <c r="AI169" s="3" t="inlineStr">
        <is>
          <t>AM001031</t>
        </is>
      </c>
      <c r="AJ169" s="3" t="inlineStr">
        <is>
          <t>UTP_Instalación de pantalla de 50” en los ingresos de los Campus para complementar el sistema de control de acceso_SJL</t>
        </is>
      </c>
      <c r="AM169" s="3" t="inlineStr">
        <is>
          <t>Desestimada en reevaluación del sistema integral con Plataforma</t>
        </is>
      </c>
    </row>
    <row r="170">
      <c r="A170" s="3" t="n">
        <v>163</v>
      </c>
      <c r="B170" s="3" t="inlineStr">
        <is>
          <t>SSGG_063</t>
        </is>
      </c>
      <c r="C170" s="3" t="inlineStr">
        <is>
          <t>SSGG</t>
        </is>
      </c>
      <c r="D170" s="3" t="inlineStr">
        <is>
          <t xml:space="preserve">Alberto Fajardo Corpancho </t>
        </is>
      </c>
      <c r="F170" s="3" t="inlineStr">
        <is>
          <t>jfajardo@utp,edu,pe</t>
        </is>
      </c>
      <c r="G170" s="3" t="inlineStr">
        <is>
          <t>960 961 878</t>
        </is>
      </c>
      <c r="H170" s="3" t="inlineStr">
        <is>
          <t>Instalación de pantalla de 50” en los ingresos de los Campus para complementar el sistema de control de acceso</t>
        </is>
      </c>
      <c r="Q170" s="3" t="inlineStr">
        <is>
          <t>SI</t>
        </is>
      </c>
      <c r="R170" s="3" t="inlineStr">
        <is>
          <t>UTP Ica</t>
        </is>
      </c>
      <c r="S170" s="3" t="n">
        <v>70160101</v>
      </c>
      <c r="T170" s="3" t="inlineStr">
        <is>
          <t>UTP SUB EUB-5 SAN JOSE - ICA</t>
        </is>
      </c>
      <c r="U170" s="3" t="n">
        <v>2500</v>
      </c>
      <c r="W170" s="3" t="inlineStr">
        <is>
          <t>C</t>
        </is>
      </c>
      <c r="X170" s="4" t="n">
        <v>46235</v>
      </c>
      <c r="Y170" s="4" t="n">
        <v>46366</v>
      </c>
      <c r="Z170" s="6" t="n"/>
      <c r="AA170" s="6" t="n"/>
      <c r="AB170" s="3" t="inlineStr">
        <is>
          <t>PENDIENTE</t>
        </is>
      </c>
      <c r="AD170" s="3" t="inlineStr">
        <is>
          <t>Seguridad</t>
        </is>
      </c>
      <c r="AI170" s="3" t="inlineStr">
        <is>
          <t>AM001035</t>
        </is>
      </c>
      <c r="AJ170" s="3" t="inlineStr">
        <is>
          <t>UTP_Instalación de pantalla de 50” en los ingresos de los Campus para complementar el sistema de control de acceso_Ica</t>
        </is>
      </c>
      <c r="AM170" s="3" t="inlineStr">
        <is>
          <t>Desestimada en reevaluación del sistema integral con Plataforma</t>
        </is>
      </c>
    </row>
    <row r="171">
      <c r="A171" s="3" t="n">
        <v>164</v>
      </c>
      <c r="B171" s="3" t="inlineStr">
        <is>
          <t>SSGG_064</t>
        </is>
      </c>
      <c r="C171" s="3" t="inlineStr">
        <is>
          <t>SSGG</t>
        </is>
      </c>
      <c r="D171" s="3" t="inlineStr">
        <is>
          <t xml:space="preserve">Alberto Fajardo Corpancho </t>
        </is>
      </c>
      <c r="F171" s="3" t="inlineStr">
        <is>
          <t>jfajardo@utp,edu,pe</t>
        </is>
      </c>
      <c r="G171" s="3" t="inlineStr">
        <is>
          <t>960 961 878</t>
        </is>
      </c>
      <c r="H171" s="3" t="inlineStr">
        <is>
          <t>Instalación de pantalla de 50” en los ingresos de los Campus para complementar el sistema de control de acceso</t>
        </is>
      </c>
      <c r="Q171" s="3" t="inlineStr">
        <is>
          <t>SI</t>
        </is>
      </c>
      <c r="R171" s="3" t="inlineStr">
        <is>
          <t>UTP Huancayo</t>
        </is>
      </c>
      <c r="S171" s="3" t="n">
        <v>70190101</v>
      </c>
      <c r="T171" s="3" t="inlineStr">
        <is>
          <t>UTP AV,CIRCUNVALACIÓN 449 - HUANCAYO</t>
        </is>
      </c>
      <c r="U171" s="3" t="n">
        <v>2500</v>
      </c>
      <c r="W171" s="3" t="inlineStr">
        <is>
          <t>C</t>
        </is>
      </c>
      <c r="X171" s="4" t="n">
        <v>46235</v>
      </c>
      <c r="Y171" s="4" t="n">
        <v>46366</v>
      </c>
      <c r="Z171" s="6" t="n"/>
      <c r="AA171" s="6" t="n"/>
      <c r="AB171" s="3" t="inlineStr">
        <is>
          <t>PENDIENTE</t>
        </is>
      </c>
      <c r="AD171" s="3" t="inlineStr">
        <is>
          <t>Seguridad</t>
        </is>
      </c>
      <c r="AI171" s="3" t="inlineStr">
        <is>
          <t>AM001036</t>
        </is>
      </c>
      <c r="AJ171" s="3" t="inlineStr">
        <is>
          <t>UTP_Instalación de pantalla de 50” en los ingresos de los Campus para complementar el sistema de control de acceso_Huancayo</t>
        </is>
      </c>
      <c r="AM171" s="3" t="inlineStr">
        <is>
          <t>Desestimada en reevaluación del sistema integral con Plataforma</t>
        </is>
      </c>
    </row>
    <row r="172">
      <c r="A172" s="3" t="n">
        <v>165</v>
      </c>
      <c r="B172" s="3" t="inlineStr">
        <is>
          <t>SSGG_065</t>
        </is>
      </c>
      <c r="C172" s="3" t="inlineStr">
        <is>
          <t>SSGG</t>
        </is>
      </c>
      <c r="D172" s="3" t="inlineStr">
        <is>
          <t xml:space="preserve">Alberto Fajardo Corpancho </t>
        </is>
      </c>
      <c r="F172" s="3" t="inlineStr">
        <is>
          <t>jfajardo@utp,edu,pe</t>
        </is>
      </c>
      <c r="G172" s="3" t="inlineStr">
        <is>
          <t>960 961 878</t>
        </is>
      </c>
      <c r="H172" s="3" t="inlineStr">
        <is>
          <t>Instalación de pantalla de 50” en los ingresos de los Campus para complementar el sistema de control de acceso</t>
        </is>
      </c>
      <c r="Q172" s="3" t="inlineStr">
        <is>
          <t>SI</t>
        </is>
      </c>
      <c r="R172" s="3" t="inlineStr">
        <is>
          <t>UTP Chiclayo</t>
        </is>
      </c>
      <c r="S172" s="3" t="n">
        <v>70120201</v>
      </c>
      <c r="T172" s="3" t="inlineStr">
        <is>
          <t>UTP AV, PROGRESO CON AV, EVITAMIENTO S/N  - CHICLAYO</t>
        </is>
      </c>
      <c r="U172" s="3" t="n">
        <v>2500</v>
      </c>
      <c r="W172" s="3" t="inlineStr">
        <is>
          <t>C</t>
        </is>
      </c>
      <c r="X172" s="4" t="n">
        <v>46235</v>
      </c>
      <c r="Y172" s="4" t="n">
        <v>46366</v>
      </c>
      <c r="Z172" s="6" t="n"/>
      <c r="AA172" s="6" t="n"/>
      <c r="AB172" s="3" t="inlineStr">
        <is>
          <t>PENDIENTE</t>
        </is>
      </c>
      <c r="AD172" s="3" t="inlineStr">
        <is>
          <t>Seguridad</t>
        </is>
      </c>
      <c r="AI172" s="3" t="inlineStr">
        <is>
          <t>AM001037</t>
        </is>
      </c>
      <c r="AJ172" s="3" t="inlineStr">
        <is>
          <t>UTP_Instalación de pantalla de 50” en los ingresos de los Campus para complementar el sistema de control de acceso_Chiclayo</t>
        </is>
      </c>
      <c r="AM172" s="3" t="inlineStr">
        <is>
          <t>Desestimada en reevaluación del sistema integral con Plataforma</t>
        </is>
      </c>
    </row>
    <row r="173">
      <c r="A173" s="3" t="n">
        <v>166</v>
      </c>
      <c r="B173" s="3" t="inlineStr">
        <is>
          <t>SSGG_066</t>
        </is>
      </c>
      <c r="C173" s="3" t="inlineStr">
        <is>
          <t>SSGG</t>
        </is>
      </c>
      <c r="D173" s="3" t="inlineStr">
        <is>
          <t xml:space="preserve">Alberto Fajardo Corpancho </t>
        </is>
      </c>
      <c r="F173" s="3" t="inlineStr">
        <is>
          <t>jfajardo@utp,edu,pe</t>
        </is>
      </c>
      <c r="G173" s="3" t="inlineStr">
        <is>
          <t>960 961 878</t>
        </is>
      </c>
      <c r="H173" s="3" t="inlineStr">
        <is>
          <t>Instalación de pantalla de 50” en los ingresos de los Campus para complementar el sistema de control de acceso</t>
        </is>
      </c>
      <c r="Q173" s="3" t="inlineStr">
        <is>
          <t>SI</t>
        </is>
      </c>
      <c r="R173" s="3" t="inlineStr">
        <is>
          <t>UTP Piura</t>
        </is>
      </c>
      <c r="S173" s="3" t="n">
        <v>70170101</v>
      </c>
      <c r="T173" s="3" t="inlineStr">
        <is>
          <t>UTP AV,PANAMERICANA 234 -PIURA</t>
        </is>
      </c>
      <c r="U173" s="3" t="n">
        <v>2500</v>
      </c>
      <c r="W173" s="3" t="inlineStr">
        <is>
          <t>C</t>
        </is>
      </c>
      <c r="X173" s="4" t="n">
        <v>46235</v>
      </c>
      <c r="Y173" s="4" t="n">
        <v>46366</v>
      </c>
      <c r="Z173" s="6" t="n"/>
      <c r="AA173" s="6" t="n"/>
      <c r="AB173" s="3" t="inlineStr">
        <is>
          <t>PENDIENTE</t>
        </is>
      </c>
      <c r="AD173" s="3" t="inlineStr">
        <is>
          <t>Seguridad</t>
        </is>
      </c>
      <c r="AI173" s="3" t="inlineStr">
        <is>
          <t>AM001038</t>
        </is>
      </c>
      <c r="AJ173" s="3" t="inlineStr">
        <is>
          <t>UTP_Instalación de pantalla de 50” en los ingresos de los Campus para complementar el sistema de control de acceso_Piura</t>
        </is>
      </c>
      <c r="AM173" s="3" t="inlineStr">
        <is>
          <t>Desestimada en reevaluación del sistema integral con Plataforma</t>
        </is>
      </c>
    </row>
    <row r="174">
      <c r="A174" s="3" t="n">
        <v>167</v>
      </c>
      <c r="B174" s="3" t="inlineStr">
        <is>
          <t>SSGG_067</t>
        </is>
      </c>
      <c r="C174" s="3" t="inlineStr">
        <is>
          <t>SSGG</t>
        </is>
      </c>
      <c r="D174" s="3" t="inlineStr">
        <is>
          <t xml:space="preserve">Alberto Fajardo Corpancho </t>
        </is>
      </c>
      <c r="F174" s="3" t="inlineStr">
        <is>
          <t>jfajardo@utp,edu,pe</t>
        </is>
      </c>
      <c r="G174" s="3" t="inlineStr">
        <is>
          <t>960 961 878</t>
        </is>
      </c>
      <c r="H174" s="3" t="inlineStr">
        <is>
          <t>Instalación de pantalla de 50” en los ingresos de los Campus para complementar el sistema de control de acceso</t>
        </is>
      </c>
      <c r="Q174" s="3" t="inlineStr">
        <is>
          <t>SI</t>
        </is>
      </c>
      <c r="R174" s="3" t="inlineStr">
        <is>
          <t>UTP Trujillo</t>
        </is>
      </c>
      <c r="S174" s="3" t="n">
        <v>70180103</v>
      </c>
      <c r="T174" s="3" t="inlineStr">
        <is>
          <t>UTP NICOLAS PIEROLA - TRUJILLO</t>
        </is>
      </c>
      <c r="U174" s="3" t="n">
        <v>2500</v>
      </c>
      <c r="W174" s="3" t="inlineStr">
        <is>
          <t>C</t>
        </is>
      </c>
      <c r="X174" s="4" t="n">
        <v>46235</v>
      </c>
      <c r="Y174" s="4" t="n">
        <v>46366</v>
      </c>
      <c r="Z174" s="6" t="n"/>
      <c r="AA174" s="6" t="n"/>
      <c r="AB174" s="3" t="inlineStr">
        <is>
          <t>PENDIENTE</t>
        </is>
      </c>
      <c r="AD174" s="3" t="inlineStr">
        <is>
          <t>Seguridad</t>
        </is>
      </c>
      <c r="AI174" s="3" t="inlineStr">
        <is>
          <t>AM001039</t>
        </is>
      </c>
      <c r="AJ174" s="3" t="inlineStr">
        <is>
          <t>UTP_Instalación de pantalla de 50” en los ingresos de los Campus para complementar el sistema de control de acceso_Trujillo</t>
        </is>
      </c>
      <c r="AM174" s="3" t="inlineStr">
        <is>
          <t>Desestimada en reevaluación del sistema integral con Plataforma</t>
        </is>
      </c>
    </row>
    <row r="175">
      <c r="A175" s="3" t="n">
        <v>168</v>
      </c>
      <c r="B175" s="3" t="inlineStr">
        <is>
          <t>SSGG_068</t>
        </is>
      </c>
      <c r="C175" s="3" t="inlineStr">
        <is>
          <t>SSGG</t>
        </is>
      </c>
      <c r="D175" s="3" t="inlineStr">
        <is>
          <t xml:space="preserve">Alberto Fajardo Corpancho </t>
        </is>
      </c>
      <c r="F175" s="3" t="inlineStr">
        <is>
          <t>jfajardo@utp,edu,pe</t>
        </is>
      </c>
      <c r="G175" s="3" t="inlineStr">
        <is>
          <t>960 961 878</t>
        </is>
      </c>
      <c r="H175" s="3" t="inlineStr">
        <is>
          <t>Instalación de pantalla de 50” en los ingresos de los Campus para complementar el sistema de control de acceso</t>
        </is>
      </c>
      <c r="Q175" s="3" t="inlineStr">
        <is>
          <t>SI</t>
        </is>
      </c>
      <c r="R175" s="3" t="inlineStr">
        <is>
          <t>UTP Chimbote</t>
        </is>
      </c>
      <c r="S175" s="3" t="n">
        <v>70150101</v>
      </c>
      <c r="T175" s="3" t="inlineStr">
        <is>
          <t>UTP PASERO DEL MAR MZ C9- LT2 - CHIMBOTE</t>
        </is>
      </c>
      <c r="U175" s="3" t="n">
        <v>2500</v>
      </c>
      <c r="W175" s="3" t="inlineStr">
        <is>
          <t>C</t>
        </is>
      </c>
      <c r="X175" s="4" t="n">
        <v>46235</v>
      </c>
      <c r="Y175" s="4" t="n">
        <v>46366</v>
      </c>
      <c r="Z175" s="6" t="n"/>
      <c r="AA175" s="6" t="n"/>
      <c r="AB175" s="3" t="inlineStr">
        <is>
          <t>PENDIENTE</t>
        </is>
      </c>
      <c r="AD175" s="3" t="inlineStr">
        <is>
          <t>Seguridad</t>
        </is>
      </c>
      <c r="AI175" s="3" t="inlineStr">
        <is>
          <t>AM001040</t>
        </is>
      </c>
      <c r="AJ175" s="3" t="inlineStr">
        <is>
          <t>UTP_Instalación de pantalla de 50” en los ingresos de los Campus para complementar el sistema de control de acceso_Chimbote</t>
        </is>
      </c>
      <c r="AM175" s="3" t="inlineStr">
        <is>
          <t>Desestimada en reevaluación del sistema integral con Plataforma</t>
        </is>
      </c>
    </row>
    <row r="176">
      <c r="A176" s="3" t="n">
        <v>169</v>
      </c>
      <c r="B176" s="3" t="inlineStr">
        <is>
          <t>SSGG_069</t>
        </is>
      </c>
      <c r="C176" s="3" t="inlineStr">
        <is>
          <t>SSGG</t>
        </is>
      </c>
      <c r="D176" s="3" t="inlineStr">
        <is>
          <t xml:space="preserve">Alberto Fajardo Corpancho </t>
        </is>
      </c>
      <c r="F176" s="3" t="inlineStr">
        <is>
          <t>jfajardo@utp,edu,pe</t>
        </is>
      </c>
      <c r="G176" s="3" t="inlineStr">
        <is>
          <t>960 961 878</t>
        </is>
      </c>
      <c r="H176" s="3" t="inlineStr">
        <is>
          <t>Instalación de pantalla de 50” en los ingresos de los Campus para complementar el sistema de control de acceso</t>
        </is>
      </c>
      <c r="Q176" s="3" t="inlineStr">
        <is>
          <t>SI</t>
        </is>
      </c>
      <c r="R176" s="3" t="inlineStr">
        <is>
          <t>UTP Iquitos</t>
        </is>
      </c>
      <c r="S176" s="3" t="n">
        <v>70230101</v>
      </c>
      <c r="T176" s="3" t="inlineStr">
        <is>
          <t>UTP AV, ABELARDO QUIÑONES 2371 - IQUITOS</t>
        </is>
      </c>
      <c r="U176" s="3" t="n">
        <v>2500</v>
      </c>
      <c r="W176" s="3" t="inlineStr">
        <is>
          <t>C</t>
        </is>
      </c>
      <c r="X176" s="4" t="n">
        <v>46235</v>
      </c>
      <c r="Y176" s="4" t="n">
        <v>46366</v>
      </c>
      <c r="Z176" s="6" t="n"/>
      <c r="AA176" s="6" t="n"/>
      <c r="AB176" s="3" t="inlineStr">
        <is>
          <t>PENDIENTE</t>
        </is>
      </c>
      <c r="AD176" s="3" t="inlineStr">
        <is>
          <t>Seguridad</t>
        </is>
      </c>
      <c r="AI176" s="3" t="inlineStr">
        <is>
          <t>AM001041</t>
        </is>
      </c>
      <c r="AJ176" s="3" t="inlineStr">
        <is>
          <t>UTP_Instalación de pantalla de 50” en los ingresos de los Campus para complementar el sistema de control de acceso_Iquitos</t>
        </is>
      </c>
      <c r="AM176" s="3" t="inlineStr">
        <is>
          <t>Desestimada en reevaluación del sistema integral con Plataforma</t>
        </is>
      </c>
    </row>
    <row r="177">
      <c r="A177" s="3" t="n">
        <v>170</v>
      </c>
      <c r="B177" s="3" t="inlineStr">
        <is>
          <t>SSGG_070</t>
        </is>
      </c>
      <c r="C177" s="3" t="inlineStr">
        <is>
          <t>SSGG</t>
        </is>
      </c>
      <c r="D177" s="3" t="inlineStr">
        <is>
          <t xml:space="preserve">Alberto Fajardo Corpancho </t>
        </is>
      </c>
      <c r="F177" s="3" t="inlineStr">
        <is>
          <t>jfajardo@utp,edu,pe</t>
        </is>
      </c>
      <c r="G177" s="3" t="inlineStr">
        <is>
          <t>960 961 878</t>
        </is>
      </c>
      <c r="H177" s="3" t="inlineStr">
        <is>
          <t>Instalación de pantalla de 50” en los ingresos de los Campus para complementar el sistema de control de acceso</t>
        </is>
      </c>
      <c r="Q177" s="3" t="inlineStr">
        <is>
          <t>SI</t>
        </is>
      </c>
      <c r="R177" s="3" t="inlineStr">
        <is>
          <t>UTP Pucallpa</t>
        </is>
      </c>
      <c r="S177" s="3" t="n">
        <v>70220101</v>
      </c>
      <c r="T177" s="3" t="inlineStr">
        <is>
          <t>UTP AV, CENTENARIO - PUCALLPA</t>
        </is>
      </c>
      <c r="U177" s="3" t="n">
        <v>2500</v>
      </c>
      <c r="W177" s="3" t="inlineStr">
        <is>
          <t>C</t>
        </is>
      </c>
      <c r="X177" s="4" t="n">
        <v>46235</v>
      </c>
      <c r="Y177" s="4" t="n">
        <v>46366</v>
      </c>
      <c r="Z177" s="6" t="n"/>
      <c r="AA177" s="6" t="n"/>
      <c r="AB177" s="3" t="inlineStr">
        <is>
          <t>PENDIENTE</t>
        </is>
      </c>
      <c r="AD177" s="3" t="inlineStr">
        <is>
          <t>Seguridad</t>
        </is>
      </c>
      <c r="AI177" s="3" t="inlineStr">
        <is>
          <t>AM001042</t>
        </is>
      </c>
      <c r="AJ177" s="3" t="inlineStr">
        <is>
          <t>UTP_Instalación de pantalla de 50” en los ingresos de los Campus para complementar el sistema de control de acceso_Pucallpa</t>
        </is>
      </c>
      <c r="AM177" s="3" t="inlineStr">
        <is>
          <t>Desestimada en reevaluación del sistema integral con Plataforma</t>
        </is>
      </c>
    </row>
    <row r="178">
      <c r="A178" s="3" t="n">
        <v>171</v>
      </c>
      <c r="B178" s="3" t="inlineStr">
        <is>
          <t>SSGG_071</t>
        </is>
      </c>
      <c r="C178" s="3" t="inlineStr">
        <is>
          <t>SSGG</t>
        </is>
      </c>
      <c r="D178" s="3" t="inlineStr">
        <is>
          <t xml:space="preserve">Alberto Fajardo Corpancho </t>
        </is>
      </c>
      <c r="F178" s="3" t="inlineStr">
        <is>
          <t>jfajardo@utp,edu,pe</t>
        </is>
      </c>
      <c r="G178" s="3" t="inlineStr">
        <is>
          <t>960 961 878</t>
        </is>
      </c>
      <c r="H178" s="3" t="inlineStr">
        <is>
          <t>Instalación de pantalla de 50” en los ingresos de los Campus para complementar el sistema de control de acceso</t>
        </is>
      </c>
      <c r="Q178" s="3" t="inlineStr">
        <is>
          <t>SI</t>
        </is>
      </c>
      <c r="R178" s="3" t="inlineStr">
        <is>
          <t>UTP Tacna</t>
        </is>
      </c>
      <c r="S178" s="3" t="n">
        <v>70200101</v>
      </c>
      <c r="T178" s="3" t="inlineStr">
        <is>
          <t>UTP AV, BILLINGHURTS 800 - TACNA</t>
        </is>
      </c>
      <c r="U178" s="3" t="n">
        <v>2500</v>
      </c>
      <c r="W178" s="3" t="inlineStr">
        <is>
          <t>C</t>
        </is>
      </c>
      <c r="X178" s="4" t="n">
        <v>46235</v>
      </c>
      <c r="Y178" s="4" t="n">
        <v>46366</v>
      </c>
      <c r="Z178" s="6" t="n"/>
      <c r="AA178" s="6" t="n"/>
      <c r="AB178" s="3" t="inlineStr">
        <is>
          <t>PENDIENTE</t>
        </is>
      </c>
      <c r="AD178" s="3" t="inlineStr">
        <is>
          <t>Seguridad</t>
        </is>
      </c>
      <c r="AI178" s="3" t="inlineStr">
        <is>
          <t>AM001043</t>
        </is>
      </c>
      <c r="AJ178" s="3" t="inlineStr">
        <is>
          <t>UTP_Instalación de pantalla de 50” en los ingresos de los Campus para complementar el sistema de control de acceso_Tacna</t>
        </is>
      </c>
      <c r="AM178" s="3" t="inlineStr">
        <is>
          <t>Desestimada en reevaluación del sistema integral con Plataforma</t>
        </is>
      </c>
    </row>
    <row r="179">
      <c r="A179" s="3" t="n">
        <v>172</v>
      </c>
      <c r="B179" s="3" t="inlineStr">
        <is>
          <t>SSGG_072</t>
        </is>
      </c>
      <c r="C179" s="3" t="inlineStr">
        <is>
          <t>SSGG</t>
        </is>
      </c>
      <c r="D179" s="3" t="inlineStr">
        <is>
          <t xml:space="preserve">Alberto Fajardo Corpancho </t>
        </is>
      </c>
      <c r="F179" s="3" t="inlineStr">
        <is>
          <t>jfajardo@utp,edu,pe</t>
        </is>
      </c>
      <c r="G179" s="3" t="inlineStr">
        <is>
          <t>960 961 878</t>
        </is>
      </c>
      <c r="H179" s="3" t="inlineStr">
        <is>
          <t>Instalación de pantalla de 50” en los ingresos de los Campus para complementar el sistema de control de acceso Arequipa TyA</t>
        </is>
      </c>
      <c r="Q179" s="3" t="inlineStr">
        <is>
          <t>SI</t>
        </is>
      </c>
      <c r="R179" s="3" t="inlineStr">
        <is>
          <t>UTP Arequipa</t>
        </is>
      </c>
      <c r="S179" s="3" t="n">
        <v>70110101</v>
      </c>
      <c r="T179" s="3" t="inlineStr">
        <is>
          <t>UTP TACNA-ARICA 158-160-162 - AREQUIPA</t>
        </is>
      </c>
      <c r="U179" s="3" t="n">
        <v>2500</v>
      </c>
      <c r="W179" s="3" t="inlineStr">
        <is>
          <t>C</t>
        </is>
      </c>
      <c r="X179" s="4" t="n">
        <v>46235</v>
      </c>
      <c r="Y179" s="4" t="n">
        <v>46366</v>
      </c>
      <c r="Z179" s="6" t="n"/>
      <c r="AA179" s="6" t="n"/>
      <c r="AB179" s="3" t="inlineStr">
        <is>
          <t>PENDIENTE</t>
        </is>
      </c>
      <c r="AD179" s="3" t="inlineStr">
        <is>
          <t>Seguridad</t>
        </is>
      </c>
      <c r="AI179" s="3" t="inlineStr">
        <is>
          <t>AM001032</t>
        </is>
      </c>
      <c r="AJ179" s="3" t="inlineStr">
        <is>
          <t>UTP_Instalación de pantalla de 50” en los ingresos de los Campus para complementar el sistema de control de acceso_Arequipa Tacna y Arica</t>
        </is>
      </c>
      <c r="AM179" s="3" t="inlineStr">
        <is>
          <t>Desestimada en reevaluación del sistema integral con Plataforma</t>
        </is>
      </c>
    </row>
    <row r="180">
      <c r="A180" s="3" t="n">
        <v>173</v>
      </c>
      <c r="B180" s="3" t="inlineStr">
        <is>
          <t>SSGG_073</t>
        </is>
      </c>
      <c r="C180" s="3" t="inlineStr">
        <is>
          <t>SSGG</t>
        </is>
      </c>
      <c r="D180" s="3" t="inlineStr">
        <is>
          <t xml:space="preserve">Alberto Fajardo Corpancho </t>
        </is>
      </c>
      <c r="F180" s="3" t="inlineStr">
        <is>
          <t>jfajardo@utp,edu,pe</t>
        </is>
      </c>
      <c r="G180" s="3" t="inlineStr">
        <is>
          <t>960 961 878</t>
        </is>
      </c>
      <c r="H180" s="3" t="inlineStr">
        <is>
          <t>Instalación de pantalla de 50” en los ingresos de los Campus para complementar el sistema de control de acceso LC TTA</t>
        </is>
      </c>
      <c r="Q180" s="3" t="inlineStr">
        <is>
          <t>SI</t>
        </is>
      </c>
      <c r="R180" s="3" t="inlineStr">
        <is>
          <t>UTP Lima Centro</t>
        </is>
      </c>
      <c r="S180" s="3" t="n">
        <v>10110205</v>
      </c>
      <c r="T180" s="3" t="inlineStr">
        <is>
          <t>UTP AV, AREQUIPA 265-279 - LIMA</t>
        </is>
      </c>
      <c r="U180" s="3" t="n">
        <v>16567.2</v>
      </c>
      <c r="W180" s="3" t="inlineStr">
        <is>
          <t>C</t>
        </is>
      </c>
      <c r="X180" s="4" t="n">
        <v>46235</v>
      </c>
      <c r="Y180" s="4" t="n">
        <v>46366</v>
      </c>
      <c r="Z180" s="6" t="n"/>
      <c r="AA180" s="6" t="n"/>
      <c r="AB180" s="3" t="inlineStr">
        <is>
          <t>PENDIENTE</t>
        </is>
      </c>
      <c r="AD180" s="3" t="inlineStr">
        <is>
          <t>Seguridad</t>
        </is>
      </c>
      <c r="AI180" s="3" t="inlineStr">
        <is>
          <t>AM001028</t>
        </is>
      </c>
      <c r="AJ180" s="3" t="inlineStr">
        <is>
          <t>UTP_Instalación de pantalla de 50” en los ingresos de los Campus para complementar el sistema de control de acceso_LC Torre Arequipa</t>
        </is>
      </c>
      <c r="AM180" s="3" t="inlineStr">
        <is>
          <t>Desestimada en reevaluación del sistema integral con Plataforma</t>
        </is>
      </c>
    </row>
    <row r="181">
      <c r="A181" s="3" t="n">
        <v>174</v>
      </c>
      <c r="B181" s="3" t="inlineStr">
        <is>
          <t>SSGG_074</t>
        </is>
      </c>
      <c r="C181" s="3" t="inlineStr">
        <is>
          <t>SSGG</t>
        </is>
      </c>
      <c r="D181" s="3" t="inlineStr">
        <is>
          <t xml:space="preserve">Alberto Fajardo Corpancho </t>
        </is>
      </c>
      <c r="F181" s="3" t="inlineStr">
        <is>
          <t xml:space="preserve">jfajardo@utp,edu,pe / </t>
        </is>
      </c>
      <c r="G181" s="3" t="inlineStr">
        <is>
          <t>960 961 878</t>
        </is>
      </c>
      <c r="H181" s="3" t="inlineStr">
        <is>
          <t>Instalación de pantalla de 50” en los ingresos de los Campus para complementar el sistema de control de acceso Parra 1</t>
        </is>
      </c>
      <c r="Q181" s="3" t="inlineStr">
        <is>
          <t>SI</t>
        </is>
      </c>
      <c r="R181" s="3" t="inlineStr">
        <is>
          <t>UTP Arequipa</t>
        </is>
      </c>
      <c r="S181" s="3" t="n">
        <v>70110103</v>
      </c>
      <c r="T181" s="3" t="inlineStr">
        <is>
          <t>UTP PARRA 201-203 -  AREQUIPA</t>
        </is>
      </c>
      <c r="U181" s="3" t="n">
        <v>2500</v>
      </c>
      <c r="W181" s="3" t="inlineStr">
        <is>
          <t>C</t>
        </is>
      </c>
      <c r="X181" s="4" t="n">
        <v>46235</v>
      </c>
      <c r="Y181" s="4" t="n">
        <v>46366</v>
      </c>
      <c r="Z181" s="6" t="n"/>
      <c r="AA181" s="6" t="n"/>
      <c r="AB181" s="3" t="inlineStr">
        <is>
          <t>PENDIENTE</t>
        </is>
      </c>
      <c r="AD181" s="3" t="inlineStr">
        <is>
          <t>Seguridad</t>
        </is>
      </c>
      <c r="AI181" s="3" t="inlineStr">
        <is>
          <t>AM001033</t>
        </is>
      </c>
      <c r="AJ181" s="3" t="inlineStr">
        <is>
          <t>UTP_Instalación de pantalla de 50” en los ingresos de los Campus para complementar el sistema de control de acceso_Arequipa Parra 1</t>
        </is>
      </c>
      <c r="AM181" s="3" t="inlineStr">
        <is>
          <t>Desestimada en reevaluación del sistema integral con Plataforma</t>
        </is>
      </c>
    </row>
    <row r="182">
      <c r="A182" s="3" t="n">
        <v>175</v>
      </c>
      <c r="B182" s="3" t="inlineStr">
        <is>
          <t>SSGG_075</t>
        </is>
      </c>
      <c r="C182" s="3" t="inlineStr">
        <is>
          <t>SSGG</t>
        </is>
      </c>
      <c r="D182" s="3" t="inlineStr">
        <is>
          <t xml:space="preserve">Alberto Fajardo Corpancho </t>
        </is>
      </c>
      <c r="F182" s="3" t="inlineStr">
        <is>
          <t>jfajardo@utp,edu,pe</t>
        </is>
      </c>
      <c r="G182" s="3" t="inlineStr">
        <is>
          <t>960 961 878</t>
        </is>
      </c>
      <c r="H182" s="3" t="inlineStr">
        <is>
          <t>Instalación de pantalla de 50” en los ingresos de los Campus para complementar el sistema de control de acceso Parra 2</t>
        </is>
      </c>
      <c r="Q182" s="3" t="inlineStr">
        <is>
          <t>SI</t>
        </is>
      </c>
      <c r="R182" s="3" t="inlineStr">
        <is>
          <t>UTP Arequipa</t>
        </is>
      </c>
      <c r="S182" s="3" t="n">
        <v>70110107</v>
      </c>
      <c r="T182" s="3" t="inlineStr">
        <is>
          <t>UTP PARRA WASHINGT 217-219 AREQUIPA</t>
        </is>
      </c>
      <c r="U182" s="3" t="n">
        <v>2500</v>
      </c>
      <c r="W182" s="3" t="inlineStr">
        <is>
          <t>C</t>
        </is>
      </c>
      <c r="X182" s="4" t="n">
        <v>46235</v>
      </c>
      <c r="Y182" s="4" t="n">
        <v>46366</v>
      </c>
      <c r="Z182" s="6" t="n"/>
      <c r="AA182" s="6" t="n"/>
      <c r="AB182" s="3" t="inlineStr">
        <is>
          <t>PENDIENTE</t>
        </is>
      </c>
      <c r="AD182" s="3" t="inlineStr">
        <is>
          <t>Seguridad</t>
        </is>
      </c>
      <c r="AI182" s="3" t="inlineStr">
        <is>
          <t>AM001034</t>
        </is>
      </c>
      <c r="AJ182" s="3" t="inlineStr">
        <is>
          <t>UTP_Instalación de pantalla de 50” en los ingresos de los Campus para complementar el sistema de control de acceso_Arequipa Parra 2</t>
        </is>
      </c>
      <c r="AM182" s="3" t="inlineStr">
        <is>
          <t>Desestimada en reevaluación del sistema integral con Plataforma</t>
        </is>
      </c>
    </row>
    <row r="183">
      <c r="A183" s="3" t="n">
        <v>176</v>
      </c>
      <c r="B183" s="3" t="inlineStr">
        <is>
          <t>SSGG_076</t>
        </is>
      </c>
      <c r="C183" s="3" t="inlineStr">
        <is>
          <t>SSGG</t>
        </is>
      </c>
      <c r="D183" s="3" t="inlineStr">
        <is>
          <t xml:space="preserve">Alberto Fajardo Corpancho </t>
        </is>
      </c>
      <c r="F183" s="3" t="inlineStr">
        <is>
          <t>jfajardo@utp,edu,pe</t>
        </is>
      </c>
      <c r="G183" s="3" t="inlineStr">
        <is>
          <t>960 961 878</t>
        </is>
      </c>
      <c r="H183" s="3" t="inlineStr">
        <is>
          <t>Instalación de pantalla de 50” en los ingresos de los Campus para complementar el sistema de control de acceso Sede Central</t>
        </is>
      </c>
      <c r="Q183" s="3" t="inlineStr">
        <is>
          <t>SI</t>
        </is>
      </c>
      <c r="R183" s="3" t="inlineStr">
        <is>
          <t>UTP Lima Centro</t>
        </is>
      </c>
      <c r="S183" s="3" t="n">
        <v>10110201</v>
      </c>
      <c r="T183" s="3" t="inlineStr">
        <is>
          <t>UTP PETITTHOURS 116 -  LIMA</t>
        </is>
      </c>
      <c r="U183" s="3" t="n">
        <v>2500</v>
      </c>
      <c r="W183" s="3" t="inlineStr">
        <is>
          <t>C</t>
        </is>
      </c>
      <c r="X183" s="4" t="n">
        <v>46235</v>
      </c>
      <c r="Y183" s="4" t="n">
        <v>46366</v>
      </c>
      <c r="Z183" s="6" t="n"/>
      <c r="AA183" s="6" t="n"/>
      <c r="AB183" s="3" t="inlineStr">
        <is>
          <t>PENDIENTE</t>
        </is>
      </c>
      <c r="AD183" s="3" t="inlineStr">
        <is>
          <t>Seguridad</t>
        </is>
      </c>
      <c r="AI183" s="3" t="inlineStr">
        <is>
          <t>AM001029</t>
        </is>
      </c>
      <c r="AJ183" s="3" t="inlineStr">
        <is>
          <t>UTP_Instalación de pantalla de 50” en los ingresos de los Campus para complementar el sistema de control de acceso_LC Torre Arequipa</t>
        </is>
      </c>
      <c r="AM183" s="3" t="inlineStr">
        <is>
          <t>Desestimada en reevaluación del sistema integral con Plataforma</t>
        </is>
      </c>
    </row>
    <row r="184">
      <c r="A184" s="3" t="n">
        <v>177</v>
      </c>
      <c r="B184" s="3" t="inlineStr">
        <is>
          <t>SSGG_077</t>
        </is>
      </c>
      <c r="C184" s="3" t="inlineStr">
        <is>
          <t>SSGG</t>
        </is>
      </c>
      <c r="D184" s="3" t="inlineStr">
        <is>
          <t xml:space="preserve">Alberto Fajardo Corpancho </t>
        </is>
      </c>
      <c r="F184" s="3" t="inlineStr">
        <is>
          <t>jfajardo@utp,edu,pe</t>
        </is>
      </c>
      <c r="G184" s="3" t="inlineStr">
        <is>
          <t>960 961 878</t>
        </is>
      </c>
      <c r="H184" s="3" t="inlineStr">
        <is>
          <t>Instalación de pantalla de 50” en los ingresos de los Campus para complementar el sistema de control de acceso Torre II</t>
        </is>
      </c>
      <c r="Q184" s="3" t="inlineStr">
        <is>
          <t>SI</t>
        </is>
      </c>
      <c r="R184" s="3" t="inlineStr">
        <is>
          <t>UTP Lima Centro</t>
        </is>
      </c>
      <c r="S184" s="3" t="n">
        <v>10110204</v>
      </c>
      <c r="T184" s="3" t="inlineStr">
        <is>
          <t>UTP PETIT THOU383-385-TORRE II - LIMA</t>
        </is>
      </c>
      <c r="U184" s="3" t="n">
        <v>2500</v>
      </c>
      <c r="W184" s="3" t="inlineStr">
        <is>
          <t>C</t>
        </is>
      </c>
      <c r="X184" s="4" t="n">
        <v>46235</v>
      </c>
      <c r="Y184" s="4" t="n">
        <v>46366</v>
      </c>
      <c r="Z184" s="6" t="n"/>
      <c r="AA184" s="6" t="n"/>
      <c r="AB184" s="3" t="inlineStr">
        <is>
          <t>PENDIENTE</t>
        </is>
      </c>
      <c r="AD184" s="3" t="inlineStr">
        <is>
          <t>Seguridad</t>
        </is>
      </c>
      <c r="AI184" s="3" t="inlineStr">
        <is>
          <t>AM001027</t>
        </is>
      </c>
      <c r="AJ184" s="3" t="inlineStr">
        <is>
          <t>UTP_Instalación de pantalla de 50” en los ingresos de los Campus para complementar el sistema de control de acceso_LC Torre II</t>
        </is>
      </c>
      <c r="AM184" s="3" t="inlineStr">
        <is>
          <t>Desestimada en reevaluación del sistema integral con Plataforma</t>
        </is>
      </c>
    </row>
    <row r="185">
      <c r="A185" s="3" t="n">
        <v>178</v>
      </c>
      <c r="B185" s="3" t="inlineStr">
        <is>
          <t>SSGG_078</t>
        </is>
      </c>
      <c r="C185" s="3" t="inlineStr">
        <is>
          <t>SSGG</t>
        </is>
      </c>
      <c r="D185" s="3" t="inlineStr">
        <is>
          <t xml:space="preserve">VICENTE CAYETANO RODRIGUEZ PASTOR </t>
        </is>
      </c>
      <c r="F185" s="3" t="inlineStr">
        <is>
          <t>vrodriguep@utp,edu,pe</t>
        </is>
      </c>
      <c r="G185" s="3" t="inlineStr">
        <is>
          <t>955 141 444</t>
        </is>
      </c>
      <c r="H185" s="3" t="inlineStr">
        <is>
          <t>Instalación de plataforma con baranda para MP de paneles solares 40 mL</t>
        </is>
      </c>
      <c r="Q185" s="3" t="inlineStr">
        <is>
          <t>SI</t>
        </is>
      </c>
      <c r="R185" s="3" t="inlineStr">
        <is>
          <t>UTP Ica</t>
        </is>
      </c>
      <c r="S185" s="3" t="n">
        <v>70160101</v>
      </c>
      <c r="T185" s="3" t="inlineStr">
        <is>
          <t>UTP SUB EUB-5 SAN JOSE - ICA</t>
        </is>
      </c>
      <c r="U185" s="3" t="n">
        <v>45000</v>
      </c>
      <c r="V185" s="3" t="n">
        <v>35046</v>
      </c>
      <c r="W185" s="3" t="inlineStr">
        <is>
          <t>A</t>
        </is>
      </c>
      <c r="X185" s="4" t="n">
        <v>46113</v>
      </c>
      <c r="Y185" s="4" t="n">
        <v>46203</v>
      </c>
      <c r="Z185" s="4" t="n">
        <v>46113</v>
      </c>
      <c r="AA185" s="4" t="n">
        <v>46170</v>
      </c>
      <c r="AB185" s="3" t="inlineStr">
        <is>
          <t>EJECUTADO</t>
        </is>
      </c>
      <c r="AC185" s="3" t="inlineStr">
        <is>
          <t>EJECUTADO</t>
        </is>
      </c>
      <c r="AD185" s="3" t="inlineStr">
        <is>
          <t>Mantenimiento</t>
        </is>
      </c>
      <c r="AE185" s="3" t="inlineStr">
        <is>
          <t>SC-0000116760-2026</t>
        </is>
      </c>
      <c r="AF185" s="7" t="n">
        <v>46063</v>
      </c>
      <c r="AG185" s="3" t="inlineStr">
        <is>
          <t>OC-0000127083-2026</t>
        </is>
      </c>
      <c r="AH185" s="7" t="n">
        <v>46132</v>
      </c>
      <c r="AI185" s="3" t="inlineStr">
        <is>
          <t>PROY1295</t>
        </is>
      </c>
      <c r="AJ185" s="3" t="inlineStr">
        <is>
          <t>UTP_Instalación de plataforma con baranda para MP de paneles solares 40 Ml</t>
        </is>
      </c>
    </row>
    <row r="186">
      <c r="A186" s="3" t="n">
        <v>179</v>
      </c>
      <c r="B186" s="3" t="inlineStr">
        <is>
          <t>SSGG_079</t>
        </is>
      </c>
      <c r="C186" s="3" t="inlineStr">
        <is>
          <t>SSGG</t>
        </is>
      </c>
      <c r="D186" s="3" t="inlineStr">
        <is>
          <t>Eloy Pocohuanca / Alberto Fajardo Corpancho  / Luis Alberto Garcia Durand</t>
        </is>
      </c>
      <c r="F186" s="3" t="inlineStr">
        <is>
          <t>epocohuanc@utp,edu,pe/ jfajardo@utp,edu,pe / lgarciadd@utp,edu,pe</t>
        </is>
      </c>
      <c r="G186" s="3" t="inlineStr">
        <is>
          <t>937 029 622 / 960 961 878 / 958 209 824</t>
        </is>
      </c>
      <c r="H186" s="3" t="inlineStr">
        <is>
          <t>Instalar una puerta con facial en el ingreso a la Terraza 2 - Piso 1</t>
        </is>
      </c>
      <c r="Q186" s="3" t="inlineStr">
        <is>
          <t>SI</t>
        </is>
      </c>
      <c r="R186" s="3" t="inlineStr">
        <is>
          <t>Corporativo - Natalio</t>
        </is>
      </c>
      <c r="S186" s="3" t="n">
        <v>10110101</v>
      </c>
      <c r="T186" s="3" t="inlineStr">
        <is>
          <t>UTP NATALIO SANCHEZ 125 -  LIMA</t>
        </is>
      </c>
      <c r="U186" s="3" t="n">
        <v>10000</v>
      </c>
      <c r="W186" s="3" t="inlineStr">
        <is>
          <t>B</t>
        </is>
      </c>
      <c r="X186" s="4" t="n">
        <v>46174</v>
      </c>
      <c r="Y186" s="4" t="n">
        <v>46310</v>
      </c>
      <c r="Z186" s="6" t="n"/>
      <c r="AA186" s="6" t="n"/>
      <c r="AB186" s="3" t="inlineStr">
        <is>
          <t>EN PROCESO</t>
        </is>
      </c>
      <c r="AD186" s="3" t="inlineStr">
        <is>
          <t>Proyectos Ops / Seguridad/Mantenimiento</t>
        </is>
      </c>
      <c r="AE186" s="3" t="inlineStr">
        <is>
          <t>SC-0000125775-2026</t>
        </is>
      </c>
      <c r="AF186" s="7" t="n">
        <v>46140</v>
      </c>
      <c r="AG186" s="3" t="inlineStr">
        <is>
          <t>SC DEVUELTA</t>
        </is>
      </c>
      <c r="AI186" s="3" t="inlineStr">
        <is>
          <t>PROY1296</t>
        </is>
      </c>
      <c r="AJ186" s="3" t="inlineStr">
        <is>
          <t>UTP_Instalar una puerta con facial en el ingreso a la Terraza 2 - Piso 1</t>
        </is>
      </c>
      <c r="AM186" s="3" t="inlineStr">
        <is>
          <t>OC pendiente de VB por Luis Garcia</t>
        </is>
      </c>
    </row>
    <row r="187">
      <c r="A187" s="3" t="n">
        <v>180</v>
      </c>
      <c r="B187" s="3" t="inlineStr">
        <is>
          <t>SSGG_080</t>
        </is>
      </c>
      <c r="C187" s="3" t="inlineStr">
        <is>
          <t>SSGG</t>
        </is>
      </c>
      <c r="D187" s="3" t="inlineStr">
        <is>
          <t xml:space="preserve">Elmer Raul ILLANES PAUCAR </t>
        </is>
      </c>
      <c r="F187" s="3" t="inlineStr">
        <is>
          <t>eillanes@utp,edu,pe</t>
        </is>
      </c>
      <c r="G187" s="3" t="inlineStr">
        <is>
          <t>994 690 404</t>
        </is>
      </c>
      <c r="H187" s="3" t="inlineStr">
        <is>
          <t>Monitoreo remoto del panel BSCI y Grupo Electrógeno</t>
        </is>
      </c>
      <c r="Q187" s="3" t="inlineStr">
        <is>
          <t>SI</t>
        </is>
      </c>
      <c r="R187" s="3" t="inlineStr">
        <is>
          <t>UTP Lima Norte</t>
        </is>
      </c>
      <c r="S187" s="3" t="n">
        <v>10220111</v>
      </c>
      <c r="T187" s="3" t="inlineStr">
        <is>
          <t>UTP AV,INFANTAS MZ 2E LOTE 28, URB, STA LUISA - LOS OLIVOS</t>
        </is>
      </c>
      <c r="U187" s="3" t="n">
        <v>7272.73</v>
      </c>
      <c r="W187" s="3" t="inlineStr">
        <is>
          <t>C</t>
        </is>
      </c>
      <c r="X187" s="4" t="n">
        <v>46174</v>
      </c>
      <c r="Y187" s="4" t="n">
        <v>46310</v>
      </c>
      <c r="Z187" s="6" t="n"/>
      <c r="AA187" s="6" t="n"/>
      <c r="AB187" s="3" t="inlineStr">
        <is>
          <t>EN PROCESO</t>
        </is>
      </c>
      <c r="AD187" s="3" t="inlineStr">
        <is>
          <t>Mantenimiento</t>
        </is>
      </c>
      <c r="AE187" s="3" t="inlineStr">
        <is>
          <t>SC-0000132723-2026</t>
        </is>
      </c>
      <c r="AF187" s="7" t="n">
        <v>46185</v>
      </c>
      <c r="AI187" s="3" t="inlineStr">
        <is>
          <t>PROY1297</t>
        </is>
      </c>
      <c r="AJ187" s="3" t="inlineStr">
        <is>
          <t>UTP_Monitoreo remoto del panel BSCI y Grupo Electrógeno</t>
        </is>
      </c>
    </row>
    <row r="188">
      <c r="A188" s="3" t="n">
        <v>181</v>
      </c>
      <c r="B188" s="3" t="inlineStr">
        <is>
          <t>SSGG_081</t>
        </is>
      </c>
      <c r="C188" s="3" t="inlineStr">
        <is>
          <t>SSGG</t>
        </is>
      </c>
      <c r="D188" s="3" t="inlineStr">
        <is>
          <t xml:space="preserve">Elmer Raul ILLANES PAUCAR </t>
        </is>
      </c>
      <c r="F188" s="3" t="inlineStr">
        <is>
          <t>eillanes@utp,edu,pe</t>
        </is>
      </c>
      <c r="G188" s="3" t="inlineStr">
        <is>
          <t>994 690 404</t>
        </is>
      </c>
      <c r="H188" s="3" t="inlineStr">
        <is>
          <t>Monitoreo remoto del panel BSCI y Grupo Electrógeno</t>
        </is>
      </c>
      <c r="Q188" s="3" t="inlineStr">
        <is>
          <t>SI</t>
        </is>
      </c>
      <c r="R188" s="3" t="inlineStr">
        <is>
          <t>UTP Lima Sur</t>
        </is>
      </c>
      <c r="S188" s="3" t="n">
        <v>10220106</v>
      </c>
      <c r="T188" s="3" t="inlineStr">
        <is>
          <t>UTP EL TRIUNFO S/N-VILLA SALVA - LIMA</t>
        </is>
      </c>
      <c r="U188" s="3" t="n">
        <v>7272.73</v>
      </c>
      <c r="W188" s="3" t="inlineStr">
        <is>
          <t>C</t>
        </is>
      </c>
      <c r="X188" s="4" t="n">
        <v>46174</v>
      </c>
      <c r="Y188" s="4" t="n">
        <v>46310</v>
      </c>
      <c r="Z188" s="6" t="n"/>
      <c r="AA188" s="6" t="n"/>
      <c r="AB188" s="3" t="inlineStr">
        <is>
          <t>EN PROCESO</t>
        </is>
      </c>
      <c r="AD188" s="3" t="inlineStr">
        <is>
          <t>Mantenimiento</t>
        </is>
      </c>
      <c r="AE188" s="3" t="inlineStr">
        <is>
          <t>SC-0000132729-2026</t>
        </is>
      </c>
      <c r="AF188" s="7" t="n">
        <v>46185</v>
      </c>
      <c r="AI188" s="3" t="inlineStr">
        <is>
          <t>PROY1298</t>
        </is>
      </c>
      <c r="AJ188" s="3" t="inlineStr">
        <is>
          <t>UTP_Monitoreo remoto del panel BSCI y Grupo Electrógeno</t>
        </is>
      </c>
    </row>
    <row r="189">
      <c r="A189" s="3" t="n">
        <v>182</v>
      </c>
      <c r="B189" s="3" t="inlineStr">
        <is>
          <t>SSGG_082</t>
        </is>
      </c>
      <c r="C189" s="3" t="inlineStr">
        <is>
          <t>SSGG</t>
        </is>
      </c>
      <c r="D189" s="3" t="inlineStr">
        <is>
          <t xml:space="preserve">Elmer Raul ILLANES PAUCAR </t>
        </is>
      </c>
      <c r="F189" s="3" t="inlineStr">
        <is>
          <t>eillanes@utp,edu,pe</t>
        </is>
      </c>
      <c r="G189" s="3" t="inlineStr">
        <is>
          <t>994 690 404</t>
        </is>
      </c>
      <c r="H189" s="3" t="inlineStr">
        <is>
          <t>Monitoreo remoto del panel BSCI y Grupo Electrógeno</t>
        </is>
      </c>
      <c r="Q189" s="3" t="inlineStr">
        <is>
          <t>SI</t>
        </is>
      </c>
      <c r="R189" s="3" t="inlineStr">
        <is>
          <t>UTP Lima Este</t>
        </is>
      </c>
      <c r="S189" s="3" t="n">
        <v>10220108</v>
      </c>
      <c r="T189" s="3" t="inlineStr">
        <is>
          <t>UTP N,AYLLON KM11,60 LOTE 96ATE -LIMA</t>
        </is>
      </c>
      <c r="U189" s="3" t="n">
        <v>7272.73</v>
      </c>
      <c r="W189" s="3" t="inlineStr">
        <is>
          <t>C</t>
        </is>
      </c>
      <c r="X189" s="4" t="n">
        <v>46174</v>
      </c>
      <c r="Y189" s="4" t="n">
        <v>46310</v>
      </c>
      <c r="Z189" s="6" t="n"/>
      <c r="AA189" s="6" t="n"/>
      <c r="AB189" s="3" t="inlineStr">
        <is>
          <t>EN PROCESO</t>
        </is>
      </c>
      <c r="AD189" s="3" t="inlineStr">
        <is>
          <t>Mantenimiento</t>
        </is>
      </c>
      <c r="AE189" s="3" t="inlineStr">
        <is>
          <t>SC-0000132731-2026</t>
        </is>
      </c>
      <c r="AF189" s="7" t="n">
        <v>46185</v>
      </c>
      <c r="AI189" s="3" t="inlineStr">
        <is>
          <t xml:space="preserve">	
PROY1303</t>
        </is>
      </c>
      <c r="AJ189" s="3" t="inlineStr">
        <is>
          <t>UTP_Monitoreo remoto del panel BSCI y Grupo Electrógeno</t>
        </is>
      </c>
    </row>
    <row r="190">
      <c r="A190" s="3" t="n">
        <v>183</v>
      </c>
      <c r="B190" s="3" t="inlineStr">
        <is>
          <t>SSGG_083</t>
        </is>
      </c>
      <c r="C190" s="3" t="inlineStr">
        <is>
          <t>SSGG</t>
        </is>
      </c>
      <c r="D190" s="3" t="inlineStr">
        <is>
          <t xml:space="preserve">Elmer Raul ILLANES PAUCAR </t>
        </is>
      </c>
      <c r="F190" s="3" t="inlineStr">
        <is>
          <t>eillanes@utp,edu,pe</t>
        </is>
      </c>
      <c r="G190" s="3" t="inlineStr">
        <is>
          <t>994 690 404</t>
        </is>
      </c>
      <c r="H190" s="3" t="inlineStr">
        <is>
          <t>Monitoreo remoto del panel BSCI y Grupo Electrógeno</t>
        </is>
      </c>
      <c r="Q190" s="3" t="inlineStr">
        <is>
          <t>SI</t>
        </is>
      </c>
      <c r="R190" s="3" t="inlineStr">
        <is>
          <t>UTP SJL</t>
        </is>
      </c>
      <c r="S190" s="3" t="n">
        <v>10220110</v>
      </c>
      <c r="T190" s="3" t="inlineStr">
        <is>
          <t>UTP AV,SOL SUB LT 13B MZG SJL - LIMA</t>
        </is>
      </c>
      <c r="U190" s="3" t="n">
        <v>14545.45</v>
      </c>
      <c r="W190" s="3" t="inlineStr">
        <is>
          <t>C</t>
        </is>
      </c>
      <c r="X190" s="4" t="n">
        <v>46174</v>
      </c>
      <c r="Y190" s="4" t="n">
        <v>46310</v>
      </c>
      <c r="Z190" s="6" t="n"/>
      <c r="AA190" s="6" t="n"/>
      <c r="AB190" s="3" t="inlineStr">
        <is>
          <t>EN PROCESO</t>
        </is>
      </c>
      <c r="AD190" s="3" t="inlineStr">
        <is>
          <t>Mantenimiento</t>
        </is>
      </c>
      <c r="AE190" s="3" t="inlineStr">
        <is>
          <t>SC-0000132732-2026</t>
        </is>
      </c>
      <c r="AF190" s="7" t="n">
        <v>46185</v>
      </c>
      <c r="AI190" s="3" t="inlineStr">
        <is>
          <t>PROY1304</t>
        </is>
      </c>
      <c r="AJ190" s="3" t="inlineStr">
        <is>
          <t>UTP_Monitoreo remoto del panel BSCI y Grupo Electrógeno</t>
        </is>
      </c>
    </row>
    <row r="191">
      <c r="A191" s="3" t="n">
        <v>184</v>
      </c>
      <c r="B191" s="3" t="inlineStr">
        <is>
          <t>SSGG_084</t>
        </is>
      </c>
      <c r="C191" s="3" t="inlineStr">
        <is>
          <t>SSGG</t>
        </is>
      </c>
      <c r="D191" s="3" t="inlineStr">
        <is>
          <t xml:space="preserve">Elmer Raul ILLANES PAUCAR </t>
        </is>
      </c>
      <c r="F191" s="3" t="inlineStr">
        <is>
          <t>eillanes@utp,edu,pe</t>
        </is>
      </c>
      <c r="G191" s="3" t="inlineStr">
        <is>
          <t>994 690 404</t>
        </is>
      </c>
      <c r="H191" s="3" t="inlineStr">
        <is>
          <t>Monitoreo remoto del panel BSCI y Grupo Electrógeno</t>
        </is>
      </c>
      <c r="Q191" s="3" t="inlineStr">
        <is>
          <t>SI</t>
        </is>
      </c>
      <c r="R191" s="3" t="inlineStr">
        <is>
          <t>UTP Ica</t>
        </is>
      </c>
      <c r="S191" s="3" t="n">
        <v>70160101</v>
      </c>
      <c r="T191" s="3" t="inlineStr">
        <is>
          <t>UTP SUB EUB-5 SAN JOSE - ICA</t>
        </is>
      </c>
      <c r="U191" s="3" t="n">
        <v>7272.73</v>
      </c>
      <c r="W191" s="3" t="inlineStr">
        <is>
          <t>C</t>
        </is>
      </c>
      <c r="X191" s="4" t="n">
        <v>46174</v>
      </c>
      <c r="Y191" s="4" t="n">
        <v>46310</v>
      </c>
      <c r="Z191" s="6" t="n"/>
      <c r="AA191" s="6" t="n"/>
      <c r="AB191" s="3" t="inlineStr">
        <is>
          <t>EN PROCESO</t>
        </is>
      </c>
      <c r="AD191" s="3" t="inlineStr">
        <is>
          <t>Mantenimiento</t>
        </is>
      </c>
      <c r="AE191" s="3" t="inlineStr">
        <is>
          <t>SC-0000132733-2026</t>
        </is>
      </c>
      <c r="AF191" s="7" t="n">
        <v>46185</v>
      </c>
      <c r="AI191" s="3" t="inlineStr">
        <is>
          <t>PROY1308</t>
        </is>
      </c>
      <c r="AJ191" s="3" t="inlineStr">
        <is>
          <t>UTP_Monitoreo remoto del panel BSCI y Grupo Electrógeno</t>
        </is>
      </c>
    </row>
    <row r="192">
      <c r="A192" s="3" t="n">
        <v>185</v>
      </c>
      <c r="B192" s="3" t="inlineStr">
        <is>
          <t>SSGG_085</t>
        </is>
      </c>
      <c r="C192" s="3" t="inlineStr">
        <is>
          <t>SSGG</t>
        </is>
      </c>
      <c r="D192" s="3" t="inlineStr">
        <is>
          <t xml:space="preserve">Elmer Raul ILLANES PAUCAR </t>
        </is>
      </c>
      <c r="F192" s="3" t="inlineStr">
        <is>
          <t>eillanes@utp,edu,pe</t>
        </is>
      </c>
      <c r="G192" s="3" t="inlineStr">
        <is>
          <t>994 690 404</t>
        </is>
      </c>
      <c r="H192" s="3" t="inlineStr">
        <is>
          <t>Monitoreo remoto del panel BSCI y Grupo Electrógeno</t>
        </is>
      </c>
      <c r="Q192" s="3" t="inlineStr">
        <is>
          <t>SI</t>
        </is>
      </c>
      <c r="R192" s="3" t="inlineStr">
        <is>
          <t>UTP Huancayo</t>
        </is>
      </c>
      <c r="S192" s="3" t="n">
        <v>70190101</v>
      </c>
      <c r="T192" s="3" t="inlineStr">
        <is>
          <t>UTP AV,CIRCUNVALACIÓN 449 - HUANCAYO</t>
        </is>
      </c>
      <c r="U192" s="3" t="n">
        <v>7272.73</v>
      </c>
      <c r="W192" s="3" t="inlineStr">
        <is>
          <t>C</t>
        </is>
      </c>
      <c r="X192" s="4" t="n">
        <v>46174</v>
      </c>
      <c r="Y192" s="4" t="n">
        <v>46310</v>
      </c>
      <c r="Z192" s="6" t="n"/>
      <c r="AA192" s="6" t="n"/>
      <c r="AB192" s="3" t="inlineStr">
        <is>
          <t>EN PROCESO</t>
        </is>
      </c>
      <c r="AD192" s="3" t="inlineStr">
        <is>
          <t>Mantenimiento</t>
        </is>
      </c>
      <c r="AE192" s="3" t="inlineStr">
        <is>
          <t>SC-0000132734-2026</t>
        </is>
      </c>
      <c r="AF192" s="7" t="n">
        <v>46185</v>
      </c>
      <c r="AI192" s="3" t="inlineStr">
        <is>
          <t>PROY1309</t>
        </is>
      </c>
      <c r="AJ192" s="3" t="inlineStr">
        <is>
          <t>UTP_Monitoreo remoto del panel BSCI y Grupo Electrógeno</t>
        </is>
      </c>
    </row>
    <row r="193">
      <c r="A193" s="3" t="n">
        <v>186</v>
      </c>
      <c r="B193" s="3" t="inlineStr">
        <is>
          <t>SSGG_086</t>
        </is>
      </c>
      <c r="C193" s="3" t="inlineStr">
        <is>
          <t>SSGG</t>
        </is>
      </c>
      <c r="D193" s="3" t="inlineStr">
        <is>
          <t xml:space="preserve">Elmer Raul ILLANES PAUCAR </t>
        </is>
      </c>
      <c r="F193" s="3" t="inlineStr">
        <is>
          <t>eillanes@utp,edu,pe</t>
        </is>
      </c>
      <c r="G193" s="3" t="inlineStr">
        <is>
          <t>994 690 404</t>
        </is>
      </c>
      <c r="H193" s="3" t="inlineStr">
        <is>
          <t>Monitoreo remoto del panel BSCI y Grupo Electrógeno</t>
        </is>
      </c>
      <c r="Q193" s="3" t="inlineStr">
        <is>
          <t>SI</t>
        </is>
      </c>
      <c r="R193" s="3" t="inlineStr">
        <is>
          <t>UTP Chiclayo</t>
        </is>
      </c>
      <c r="S193" s="3" t="n">
        <v>70120201</v>
      </c>
      <c r="T193" s="3" t="inlineStr">
        <is>
          <t>UTP AV, PROGRESO CON AV, EVITAMIENTO S/N  - CHICLAYO</t>
        </is>
      </c>
      <c r="U193" s="3" t="n">
        <v>7272.73</v>
      </c>
      <c r="W193" s="3" t="inlineStr">
        <is>
          <t>C</t>
        </is>
      </c>
      <c r="X193" s="4" t="n">
        <v>46174</v>
      </c>
      <c r="Y193" s="4" t="n">
        <v>46310</v>
      </c>
      <c r="Z193" s="6" t="n"/>
      <c r="AA193" s="6" t="n"/>
      <c r="AB193" s="3" t="inlineStr">
        <is>
          <t>EN PROCESO</t>
        </is>
      </c>
      <c r="AD193" s="3" t="inlineStr">
        <is>
          <t>Mantenimiento</t>
        </is>
      </c>
      <c r="AE193" s="3" t="inlineStr">
        <is>
          <t>SC-0000132735-2026</t>
        </is>
      </c>
      <c r="AF193" s="7" t="n">
        <v>46185</v>
      </c>
      <c r="AI193" s="3" t="inlineStr">
        <is>
          <t>PROY1310</t>
        </is>
      </c>
      <c r="AJ193" s="3" t="inlineStr">
        <is>
          <t>UTP_Monitoreo remoto del panel BSCI y Grupo Electrógeno</t>
        </is>
      </c>
    </row>
    <row r="194">
      <c r="A194" s="3" t="n">
        <v>187</v>
      </c>
      <c r="B194" s="3" t="inlineStr">
        <is>
          <t>SSGG_087</t>
        </is>
      </c>
      <c r="C194" s="3" t="inlineStr">
        <is>
          <t>SSGG</t>
        </is>
      </c>
      <c r="D194" s="3" t="inlineStr">
        <is>
          <t xml:space="preserve">Elmer Raul ILLANES PAUCAR </t>
        </is>
      </c>
      <c r="F194" s="3" t="inlineStr">
        <is>
          <t>eillanes@utp,edu,pe</t>
        </is>
      </c>
      <c r="G194" s="3" t="inlineStr">
        <is>
          <t>994 690 404</t>
        </is>
      </c>
      <c r="H194" s="3" t="inlineStr">
        <is>
          <t>Monitoreo remoto del panel BSCI y Grupo Electrógeno</t>
        </is>
      </c>
      <c r="Q194" s="3" t="inlineStr">
        <is>
          <t>SI</t>
        </is>
      </c>
      <c r="R194" s="3" t="inlineStr">
        <is>
          <t>UTP Piura</t>
        </is>
      </c>
      <c r="S194" s="3" t="n">
        <v>70170101</v>
      </c>
      <c r="T194" s="3" t="inlineStr">
        <is>
          <t>UTP AV,PANAMERICANA 234 -PIURA</t>
        </is>
      </c>
      <c r="U194" s="3" t="n">
        <v>7272.73</v>
      </c>
      <c r="W194" s="3" t="inlineStr">
        <is>
          <t>C</t>
        </is>
      </c>
      <c r="X194" s="4" t="n">
        <v>46174</v>
      </c>
      <c r="Y194" s="4" t="n">
        <v>46310</v>
      </c>
      <c r="Z194" s="6" t="n"/>
      <c r="AA194" s="6" t="n"/>
      <c r="AB194" s="3" t="inlineStr">
        <is>
          <t>EN PROCESO</t>
        </is>
      </c>
      <c r="AD194" s="3" t="inlineStr">
        <is>
          <t>Mantenimiento</t>
        </is>
      </c>
      <c r="AE194" s="3" t="inlineStr">
        <is>
          <t>SC-0000132736-2026</t>
        </is>
      </c>
      <c r="AF194" s="7" t="n">
        <v>46185</v>
      </c>
      <c r="AI194" s="3" t="inlineStr">
        <is>
          <t>PROY1311</t>
        </is>
      </c>
      <c r="AJ194" s="3" t="inlineStr">
        <is>
          <t>UTP_Monitoreo remoto del panel BSCI y Grupo Electrógeno</t>
        </is>
      </c>
    </row>
    <row r="195">
      <c r="A195" s="3" t="n">
        <v>188</v>
      </c>
      <c r="B195" s="3" t="inlineStr">
        <is>
          <t>SSGG_088</t>
        </is>
      </c>
      <c r="C195" s="3" t="inlineStr">
        <is>
          <t>SSGG</t>
        </is>
      </c>
      <c r="D195" s="3" t="inlineStr">
        <is>
          <t xml:space="preserve">Elmer Raul ILLANES PAUCAR </t>
        </is>
      </c>
      <c r="F195" s="3" t="inlineStr">
        <is>
          <t>eillanes@utp,edu,pe</t>
        </is>
      </c>
      <c r="G195" s="3" t="inlineStr">
        <is>
          <t>994 690 404</t>
        </is>
      </c>
      <c r="H195" s="3" t="inlineStr">
        <is>
          <t>Monitoreo remoto del panel BSCI y Grupo Electrógeno</t>
        </is>
      </c>
      <c r="Q195" s="3" t="inlineStr">
        <is>
          <t>SI</t>
        </is>
      </c>
      <c r="R195" s="3" t="inlineStr">
        <is>
          <t>UTP Trujillo</t>
        </is>
      </c>
      <c r="S195" s="3" t="n">
        <v>70180103</v>
      </c>
      <c r="T195" s="3" t="inlineStr">
        <is>
          <t>UTP NICOLAS PIEROLA - TRUJILLO</t>
        </is>
      </c>
      <c r="U195" s="3" t="n">
        <v>7272.73</v>
      </c>
      <c r="W195" s="3" t="inlineStr">
        <is>
          <t>C</t>
        </is>
      </c>
      <c r="X195" s="4" t="n">
        <v>46174</v>
      </c>
      <c r="Y195" s="4" t="n">
        <v>46310</v>
      </c>
      <c r="Z195" s="6" t="n"/>
      <c r="AA195" s="6" t="n"/>
      <c r="AB195" s="3" t="inlineStr">
        <is>
          <t>EN PROCESO</t>
        </is>
      </c>
      <c r="AD195" s="3" t="inlineStr">
        <is>
          <t>Mantenimiento</t>
        </is>
      </c>
      <c r="AE195" s="3" t="inlineStr">
        <is>
          <t>SC-0000132737-2026</t>
        </is>
      </c>
      <c r="AF195" s="7" t="n">
        <v>46185</v>
      </c>
      <c r="AI195" s="3" t="inlineStr">
        <is>
          <t>PROY1312</t>
        </is>
      </c>
      <c r="AJ195" s="3" t="inlineStr">
        <is>
          <t>UTP_Monitoreo remoto del panel BSCI y Grupo Electrógeno</t>
        </is>
      </c>
    </row>
    <row r="196">
      <c r="A196" s="3" t="n">
        <v>189</v>
      </c>
      <c r="B196" s="3" t="inlineStr">
        <is>
          <t>SSGG_089</t>
        </is>
      </c>
      <c r="C196" s="3" t="inlineStr">
        <is>
          <t>SSGG</t>
        </is>
      </c>
      <c r="D196" s="3" t="inlineStr">
        <is>
          <t xml:space="preserve">Elmer Raul ILLANES PAUCAR </t>
        </is>
      </c>
      <c r="F196" s="3" t="inlineStr">
        <is>
          <t>eillanes@utp,edu,pe</t>
        </is>
      </c>
      <c r="G196" s="3" t="inlineStr">
        <is>
          <t>994 690 404</t>
        </is>
      </c>
      <c r="H196" s="3" t="inlineStr">
        <is>
          <t>Monitoreo remoto del panel BSCI y Grupo Electrógeno</t>
        </is>
      </c>
      <c r="Q196" s="3" t="inlineStr">
        <is>
          <t>SI</t>
        </is>
      </c>
      <c r="R196" s="3" t="inlineStr">
        <is>
          <t>UTP Chimbote</t>
        </is>
      </c>
      <c r="S196" s="3" t="n">
        <v>70150101</v>
      </c>
      <c r="T196" s="3" t="inlineStr">
        <is>
          <t>UTP PASERO DEL MAR MZ C9- LT2 - CHIMBOTE</t>
        </is>
      </c>
      <c r="U196" s="3" t="n">
        <v>7272.73</v>
      </c>
      <c r="W196" s="3" t="inlineStr">
        <is>
          <t>C</t>
        </is>
      </c>
      <c r="X196" s="4" t="n">
        <v>46174</v>
      </c>
      <c r="Y196" s="4" t="n">
        <v>46310</v>
      </c>
      <c r="Z196" s="6" t="n"/>
      <c r="AA196" s="6" t="n"/>
      <c r="AB196" s="3" t="inlineStr">
        <is>
          <t>EN PROCESO</t>
        </is>
      </c>
      <c r="AD196" s="3" t="inlineStr">
        <is>
          <t>Mantenimiento</t>
        </is>
      </c>
      <c r="AE196" s="3" t="inlineStr">
        <is>
          <t>SC-0000132738-2026</t>
        </is>
      </c>
      <c r="AF196" s="7" t="n">
        <v>46185</v>
      </c>
      <c r="AI196" s="3" t="inlineStr">
        <is>
          <t>PROY1313</t>
        </is>
      </c>
      <c r="AJ196" s="3" t="inlineStr">
        <is>
          <t>UTP_Monitoreo remoto del panel BSCI y Grupo Electrógeno</t>
        </is>
      </c>
    </row>
    <row r="197">
      <c r="A197" s="3" t="n">
        <v>190</v>
      </c>
      <c r="B197" s="3" t="inlineStr">
        <is>
          <t>SSGG_090</t>
        </is>
      </c>
      <c r="C197" s="3" t="inlineStr">
        <is>
          <t>SSGG</t>
        </is>
      </c>
      <c r="D197" s="3" t="inlineStr">
        <is>
          <t xml:space="preserve">Elmer Raul ILLANES PAUCAR </t>
        </is>
      </c>
      <c r="F197" s="3" t="inlineStr">
        <is>
          <t>eillanes@utp,edu,pe</t>
        </is>
      </c>
      <c r="G197" s="3" t="inlineStr">
        <is>
          <t>994 690 404</t>
        </is>
      </c>
      <c r="H197" s="3" t="inlineStr">
        <is>
          <t>Monitoreo remoto del panel BSCI y Grupo Electrógeno</t>
        </is>
      </c>
      <c r="Q197" s="3" t="inlineStr">
        <is>
          <t>SI</t>
        </is>
      </c>
      <c r="R197" s="3" t="inlineStr">
        <is>
          <t>UTP Iquitos</t>
        </is>
      </c>
      <c r="S197" s="3" t="n">
        <v>70230101</v>
      </c>
      <c r="T197" s="3" t="inlineStr">
        <is>
          <t>UTP AV, ABELARDO QUIÑONES 2371 - IQUITOS</t>
        </is>
      </c>
      <c r="U197" s="3" t="n">
        <v>7272.73</v>
      </c>
      <c r="W197" s="3" t="inlineStr">
        <is>
          <t>C</t>
        </is>
      </c>
      <c r="X197" s="4" t="n">
        <v>46174</v>
      </c>
      <c r="Y197" s="4" t="n">
        <v>46310</v>
      </c>
      <c r="Z197" s="6" t="n"/>
      <c r="AA197" s="6" t="n"/>
      <c r="AB197" s="3" t="inlineStr">
        <is>
          <t>EN PROCESO</t>
        </is>
      </c>
      <c r="AD197" s="3" t="inlineStr">
        <is>
          <t>Mantenimiento</t>
        </is>
      </c>
      <c r="AE197" s="3" t="inlineStr">
        <is>
          <t>SC-0000132739-2026</t>
        </is>
      </c>
      <c r="AF197" s="7" t="n">
        <v>46185</v>
      </c>
      <c r="AI197" s="3" t="inlineStr">
        <is>
          <t>PROY1314</t>
        </is>
      </c>
      <c r="AJ197" s="3" t="inlineStr">
        <is>
          <t>UTP_Monitoreo remoto del panel BSCI y Grupo Electrógeno</t>
        </is>
      </c>
    </row>
    <row r="198">
      <c r="A198" s="3" t="n">
        <v>191</v>
      </c>
      <c r="B198" s="3" t="inlineStr">
        <is>
          <t>SSGG_091</t>
        </is>
      </c>
      <c r="C198" s="3" t="inlineStr">
        <is>
          <t>SSGG</t>
        </is>
      </c>
      <c r="D198" s="3" t="inlineStr">
        <is>
          <t xml:space="preserve">Elmer Raul ILLANES PAUCAR </t>
        </is>
      </c>
      <c r="F198" s="3" t="inlineStr">
        <is>
          <t>eillanes@utp,edu,pe</t>
        </is>
      </c>
      <c r="G198" s="3" t="inlineStr">
        <is>
          <t>994 690 404</t>
        </is>
      </c>
      <c r="H198" s="3" t="inlineStr">
        <is>
          <t>Monitoreo remoto del panel BSCI y Grupo Electrógeno</t>
        </is>
      </c>
      <c r="Q198" s="3" t="inlineStr">
        <is>
          <t>SI</t>
        </is>
      </c>
      <c r="R198" s="3" t="inlineStr">
        <is>
          <t>UTP Pucallpa</t>
        </is>
      </c>
      <c r="S198" s="3" t="n">
        <v>70220101</v>
      </c>
      <c r="T198" s="3" t="inlineStr">
        <is>
          <t>UTP AV, CENTENARIO - PUCALLPA</t>
        </is>
      </c>
      <c r="U198" s="3" t="n">
        <v>7272.73</v>
      </c>
      <c r="W198" s="3" t="inlineStr">
        <is>
          <t>C</t>
        </is>
      </c>
      <c r="X198" s="4" t="n">
        <v>46174</v>
      </c>
      <c r="Y198" s="4" t="n">
        <v>46310</v>
      </c>
      <c r="Z198" s="6" t="n"/>
      <c r="AA198" s="6" t="n"/>
      <c r="AB198" s="3" t="inlineStr">
        <is>
          <t>EN PROCESO</t>
        </is>
      </c>
      <c r="AD198" s="3" t="inlineStr">
        <is>
          <t>Mantenimiento</t>
        </is>
      </c>
      <c r="AE198" s="3" t="inlineStr">
        <is>
          <t>SC-0000132740-2026</t>
        </is>
      </c>
      <c r="AF198" s="7" t="n">
        <v>46185</v>
      </c>
      <c r="AI198" s="3" t="inlineStr">
        <is>
          <t xml:space="preserve">	
PROY1315</t>
        </is>
      </c>
      <c r="AJ198" s="3" t="inlineStr">
        <is>
          <t>UTP_Monitoreo remoto del panel BSCI y Grupo Electrógeno</t>
        </is>
      </c>
    </row>
    <row r="199">
      <c r="A199" s="3" t="n">
        <v>192</v>
      </c>
      <c r="B199" s="3" t="inlineStr">
        <is>
          <t>SSGG_092</t>
        </is>
      </c>
      <c r="C199" s="3" t="inlineStr">
        <is>
          <t>SSGG</t>
        </is>
      </c>
      <c r="D199" s="3" t="inlineStr">
        <is>
          <t xml:space="preserve">Elmer Raul ILLANES PAUCAR </t>
        </is>
      </c>
      <c r="F199" s="3" t="inlineStr">
        <is>
          <t>eillanes@utp,edu,pe</t>
        </is>
      </c>
      <c r="G199" s="3" t="inlineStr">
        <is>
          <t>994 690 404</t>
        </is>
      </c>
      <c r="H199" s="3" t="inlineStr">
        <is>
          <t>Monitoreo remoto del panel BSCI y Grupo Electrógeno</t>
        </is>
      </c>
      <c r="Q199" s="3" t="inlineStr">
        <is>
          <t>SI</t>
        </is>
      </c>
      <c r="R199" s="3" t="inlineStr">
        <is>
          <t>UTP Tacna</t>
        </is>
      </c>
      <c r="S199" s="3" t="n">
        <v>70200101</v>
      </c>
      <c r="T199" s="3" t="inlineStr">
        <is>
          <t>UTP AV, BILLINGHURTS 800 - TACNA</t>
        </is>
      </c>
      <c r="U199" s="3" t="n">
        <v>7272.73</v>
      </c>
      <c r="W199" s="3" t="inlineStr">
        <is>
          <t>C</t>
        </is>
      </c>
      <c r="X199" s="4" t="n">
        <v>46174</v>
      </c>
      <c r="Y199" s="4" t="n">
        <v>46310</v>
      </c>
      <c r="Z199" s="6" t="n"/>
      <c r="AA199" s="6" t="n"/>
      <c r="AB199" s="3" t="inlineStr">
        <is>
          <t>EN PROCESO</t>
        </is>
      </c>
      <c r="AD199" s="3" t="inlineStr">
        <is>
          <t>Mantenimiento</t>
        </is>
      </c>
      <c r="AE199" s="3" t="inlineStr">
        <is>
          <t>SC-0000132742-2026</t>
        </is>
      </c>
      <c r="AF199" s="7" t="n">
        <v>46185</v>
      </c>
      <c r="AI199" s="3" t="inlineStr">
        <is>
          <t>PROY1316</t>
        </is>
      </c>
      <c r="AJ199" s="3" t="inlineStr">
        <is>
          <t>UTP_Monitoreo remoto del panel BSCI y Grupo Electrógeno</t>
        </is>
      </c>
    </row>
    <row r="200">
      <c r="A200" s="3" t="n">
        <v>193</v>
      </c>
      <c r="B200" s="3" t="inlineStr">
        <is>
          <t>SSGG_093</t>
        </is>
      </c>
      <c r="C200" s="3" t="inlineStr">
        <is>
          <t>SSGG</t>
        </is>
      </c>
      <c r="D200" s="3" t="inlineStr">
        <is>
          <t xml:space="preserve">Elmer Raul ILLANES PAUCAR </t>
        </is>
      </c>
      <c r="F200" s="3" t="inlineStr">
        <is>
          <t>eillanes@utp,edu,pe</t>
        </is>
      </c>
      <c r="G200" s="3" t="inlineStr">
        <is>
          <t>994 690 404</t>
        </is>
      </c>
      <c r="H200" s="3" t="inlineStr">
        <is>
          <t>Monitoreo remoto del panel BSCI y Grupo Electrógeno Arequipa TyA</t>
        </is>
      </c>
      <c r="Q200" s="3" t="inlineStr">
        <is>
          <t>SI</t>
        </is>
      </c>
      <c r="R200" s="3" t="inlineStr">
        <is>
          <t>UTP Arequipa</t>
        </is>
      </c>
      <c r="S200" s="3" t="n">
        <v>70110101</v>
      </c>
      <c r="T200" s="3" t="inlineStr">
        <is>
          <t>UTP TACNA-ARICA 158-160-162 - AREQUIPA</t>
        </is>
      </c>
      <c r="U200" s="3" t="n">
        <v>7272.73</v>
      </c>
      <c r="W200" s="3" t="inlineStr">
        <is>
          <t>C</t>
        </is>
      </c>
      <c r="X200" s="4" t="n">
        <v>46174</v>
      </c>
      <c r="Y200" s="4" t="n">
        <v>46325</v>
      </c>
      <c r="Z200" s="6" t="n"/>
      <c r="AA200" s="6" t="n"/>
      <c r="AB200" s="3" t="inlineStr">
        <is>
          <t>EN PROCESO</t>
        </is>
      </c>
      <c r="AD200" s="3" t="inlineStr">
        <is>
          <t>Mantenimiento</t>
        </is>
      </c>
      <c r="AE200" s="3" t="inlineStr">
        <is>
          <t>SC-0000132743-2026</t>
        </is>
      </c>
      <c r="AF200" s="7" t="n">
        <v>46185</v>
      </c>
      <c r="AI200" s="3" t="inlineStr">
        <is>
          <t>PROY1305</t>
        </is>
      </c>
      <c r="AJ200" s="3" t="inlineStr">
        <is>
          <t>UTP_Monitoreo remoto del panel BSCI y Grupo Electrógeno</t>
        </is>
      </c>
    </row>
    <row r="201">
      <c r="A201" s="3" t="n">
        <v>194</v>
      </c>
      <c r="B201" s="3" t="inlineStr">
        <is>
          <t>SSGG_094</t>
        </is>
      </c>
      <c r="C201" s="3" t="inlineStr">
        <is>
          <t>SSGG</t>
        </is>
      </c>
      <c r="D201" s="3" t="inlineStr">
        <is>
          <t xml:space="preserve">Elmer Raul ILLANES PAUCAR </t>
        </is>
      </c>
      <c r="F201" s="3" t="inlineStr">
        <is>
          <t>eillanes@utp,edu,pe</t>
        </is>
      </c>
      <c r="G201" s="3" t="inlineStr">
        <is>
          <t>994 690 404</t>
        </is>
      </c>
      <c r="H201" s="3" t="inlineStr">
        <is>
          <t>Monitoreo remoto del panel BSCI y Grupo Electrógeno Jarrita</t>
        </is>
      </c>
      <c r="Q201" s="3" t="inlineStr">
        <is>
          <t>SI</t>
        </is>
      </c>
      <c r="R201" s="3" t="inlineStr">
        <is>
          <t>UTP Lima Centro</t>
        </is>
      </c>
      <c r="S201" s="3" t="n">
        <v>10110206</v>
      </c>
      <c r="T201" s="3" t="inlineStr">
        <is>
          <t>UTP PETIT THOURS 170-180-188-198 - LIMA</t>
        </is>
      </c>
      <c r="U201" s="3" t="n">
        <v>7272.73</v>
      </c>
      <c r="W201" s="3" t="inlineStr">
        <is>
          <t>C</t>
        </is>
      </c>
      <c r="X201" s="4" t="n">
        <v>46174</v>
      </c>
      <c r="Y201" s="4" t="n">
        <v>46325</v>
      </c>
      <c r="Z201" s="6" t="n"/>
      <c r="AA201" s="6" t="n"/>
      <c r="AB201" s="3" t="inlineStr">
        <is>
          <t>EN PROCESO</t>
        </is>
      </c>
      <c r="AD201" s="3" t="inlineStr">
        <is>
          <t>Mantenimiento</t>
        </is>
      </c>
      <c r="AE201" s="3" t="inlineStr">
        <is>
          <t>SC-0000132744-2026</t>
        </is>
      </c>
      <c r="AF201" s="7" t="n">
        <v>46185</v>
      </c>
      <c r="AI201" s="3" t="inlineStr">
        <is>
          <t xml:space="preserve">	
PROY1317</t>
        </is>
      </c>
      <c r="AJ201" s="3" t="inlineStr">
        <is>
          <t>UTP_Monitoreo remoto del panel BSCI y Grupo Electrógeno</t>
        </is>
      </c>
    </row>
    <row r="202">
      <c r="A202" s="3" t="n">
        <v>195</v>
      </c>
      <c r="B202" s="3" t="inlineStr">
        <is>
          <t>SSGG_095</t>
        </is>
      </c>
      <c r="C202" s="3" t="inlineStr">
        <is>
          <t>SSGG</t>
        </is>
      </c>
      <c r="D202" s="3" t="inlineStr">
        <is>
          <t xml:space="preserve">Elmer Raul ILLANES PAUCAR </t>
        </is>
      </c>
      <c r="F202" s="3" t="inlineStr">
        <is>
          <t>eillanes@utp,edu,pe</t>
        </is>
      </c>
      <c r="G202" s="3" t="inlineStr">
        <is>
          <t>994 690 404</t>
        </is>
      </c>
      <c r="H202" s="3" t="inlineStr">
        <is>
          <t>Monitoreo remoto del panel BSCI y Grupo Electrógeno LC Torre Arequipa</t>
        </is>
      </c>
      <c r="Q202" s="3" t="inlineStr">
        <is>
          <t>SI</t>
        </is>
      </c>
      <c r="R202" s="3" t="inlineStr">
        <is>
          <t>UTP Lima Centro</t>
        </is>
      </c>
      <c r="S202" s="3" t="n">
        <v>10110205</v>
      </c>
      <c r="T202" s="3" t="inlineStr">
        <is>
          <t>UTP AV, AREQUIPA 265-279 - LIMA</t>
        </is>
      </c>
      <c r="U202" s="3" t="n">
        <v>7272.73</v>
      </c>
      <c r="W202" s="3" t="inlineStr">
        <is>
          <t>C</t>
        </is>
      </c>
      <c r="X202" s="4" t="n">
        <v>46174</v>
      </c>
      <c r="Y202" s="4" t="n">
        <v>46325</v>
      </c>
      <c r="Z202" s="6" t="n"/>
      <c r="AA202" s="6" t="n"/>
      <c r="AB202" s="3" t="inlineStr">
        <is>
          <t>EN PROCESO</t>
        </is>
      </c>
      <c r="AD202" s="3" t="inlineStr">
        <is>
          <t>Mantenimiento</t>
        </is>
      </c>
      <c r="AE202" s="3" t="inlineStr">
        <is>
          <t>SC-0000132746-2026</t>
        </is>
      </c>
      <c r="AF202" s="7" t="n">
        <v>46185</v>
      </c>
      <c r="AI202" s="3" t="inlineStr">
        <is>
          <t>PROY1300</t>
        </is>
      </c>
      <c r="AJ202" s="3" t="inlineStr">
        <is>
          <t>UTP_Monitoreo remoto del panel BSCI y Grupo Electrógeno</t>
        </is>
      </c>
    </row>
    <row r="203">
      <c r="A203" s="3" t="n">
        <v>196</v>
      </c>
      <c r="B203" s="3" t="inlineStr">
        <is>
          <t>SSGG_096</t>
        </is>
      </c>
      <c r="C203" s="3" t="inlineStr">
        <is>
          <t>SSGG</t>
        </is>
      </c>
      <c r="D203" s="3" t="inlineStr">
        <is>
          <t xml:space="preserve">Elmer Raul ILLANES PAUCAR </t>
        </is>
      </c>
      <c r="F203" s="3" t="inlineStr">
        <is>
          <t>eillanes@utp,edu,pe</t>
        </is>
      </c>
      <c r="G203" s="3" t="inlineStr">
        <is>
          <t>994 690 404</t>
        </is>
      </c>
      <c r="H203" s="3" t="inlineStr">
        <is>
          <t>Monitoreo remoto del panel BSCI y Grupo Electrógeno Pacífico</t>
        </is>
      </c>
      <c r="Q203" s="3" t="inlineStr">
        <is>
          <t>SI</t>
        </is>
      </c>
      <c r="R203" s="3" t="inlineStr">
        <is>
          <t>UTP Lima Centro</t>
        </is>
      </c>
      <c r="S203" s="3" t="n">
        <v>10110102</v>
      </c>
      <c r="T203" s="3" t="inlineStr">
        <is>
          <t>UTP AREQUIPA 660- 670 - LIMA</t>
        </is>
      </c>
      <c r="U203" s="3" t="n">
        <v>7272.73</v>
      </c>
      <c r="W203" s="3" t="inlineStr">
        <is>
          <t>C</t>
        </is>
      </c>
      <c r="X203" s="4" t="n">
        <v>46174</v>
      </c>
      <c r="Y203" s="4" t="n">
        <v>46325</v>
      </c>
      <c r="Z203" s="6" t="n"/>
      <c r="AA203" s="6" t="n"/>
      <c r="AB203" s="3" t="inlineStr">
        <is>
          <t>EN PROCESO</t>
        </is>
      </c>
      <c r="AD203" s="3" t="inlineStr">
        <is>
          <t>Mantenimiento</t>
        </is>
      </c>
      <c r="AE203" s="3" t="inlineStr">
        <is>
          <t>SC-0000132747-2026</t>
        </is>
      </c>
      <c r="AF203" s="7" t="n">
        <v>46185</v>
      </c>
      <c r="AI203" s="3" t="inlineStr">
        <is>
          <t>PROY1302</t>
        </is>
      </c>
      <c r="AJ203" s="3" t="inlineStr">
        <is>
          <t>UTP_Monitoreo remoto del panel BSCI y Grupo Electrógeno</t>
        </is>
      </c>
    </row>
    <row r="204">
      <c r="A204" s="3" t="n">
        <v>197</v>
      </c>
      <c r="B204" s="3" t="inlineStr">
        <is>
          <t>SSGG_097</t>
        </is>
      </c>
      <c r="C204" s="3" t="inlineStr">
        <is>
          <t>SSGG</t>
        </is>
      </c>
      <c r="D204" s="3" t="inlineStr">
        <is>
          <t xml:space="preserve">Elmer Raul ILLANES PAUCAR </t>
        </is>
      </c>
      <c r="F204" s="3" t="inlineStr">
        <is>
          <t>eillanes@utp,edu,pe</t>
        </is>
      </c>
      <c r="G204" s="3" t="inlineStr">
        <is>
          <t>994 690 404</t>
        </is>
      </c>
      <c r="H204" s="3" t="inlineStr">
        <is>
          <t>Monitoreo remoto del panel BSCI y Grupo Electrógeno Parra 1</t>
        </is>
      </c>
      <c r="Q204" s="3" t="inlineStr">
        <is>
          <t>SI</t>
        </is>
      </c>
      <c r="R204" s="3" t="inlineStr">
        <is>
          <t>UTP Arequipa</t>
        </is>
      </c>
      <c r="S204" s="3" t="n">
        <v>70110103</v>
      </c>
      <c r="T204" s="3" t="inlineStr">
        <is>
          <t>UTP PARRA 201-203 -  AREQUIPA</t>
        </is>
      </c>
      <c r="U204" s="3" t="n">
        <v>7272.73</v>
      </c>
      <c r="W204" s="3" t="inlineStr">
        <is>
          <t>C</t>
        </is>
      </c>
      <c r="X204" s="4" t="n">
        <v>46174</v>
      </c>
      <c r="Y204" s="4" t="n">
        <v>46325</v>
      </c>
      <c r="Z204" s="6" t="n"/>
      <c r="AA204" s="6" t="n"/>
      <c r="AB204" s="3" t="inlineStr">
        <is>
          <t>EN PROCESO</t>
        </is>
      </c>
      <c r="AD204" s="3" t="inlineStr">
        <is>
          <t>Mantenimiento</t>
        </is>
      </c>
      <c r="AE204" s="3" t="inlineStr">
        <is>
          <t>SC-0000132749-2026</t>
        </is>
      </c>
      <c r="AF204" s="7" t="n">
        <v>46185</v>
      </c>
      <c r="AI204" s="3" t="inlineStr">
        <is>
          <t>PROY1306</t>
        </is>
      </c>
      <c r="AJ204" s="3" t="inlineStr">
        <is>
          <t>UTP_Monitoreo remoto del panel BSCI y Grupo Electrógeno</t>
        </is>
      </c>
    </row>
    <row r="205">
      <c r="A205" s="3" t="n">
        <v>198</v>
      </c>
      <c r="B205" s="3" t="inlineStr">
        <is>
          <t>SSGG_098</t>
        </is>
      </c>
      <c r="C205" s="3" t="inlineStr">
        <is>
          <t>SSGG</t>
        </is>
      </c>
      <c r="D205" s="3" t="inlineStr">
        <is>
          <t xml:space="preserve">Elmer Raul ILLANES PAUCAR </t>
        </is>
      </c>
      <c r="F205" s="3" t="inlineStr">
        <is>
          <t>eillanes@utp,edu,pe</t>
        </is>
      </c>
      <c r="G205" s="3" t="inlineStr">
        <is>
          <t>994 690 404</t>
        </is>
      </c>
      <c r="H205" s="3" t="inlineStr">
        <is>
          <t>Monitoreo remoto del panel BSCI y Grupo Electrógeno Parra 2</t>
        </is>
      </c>
      <c r="Q205" s="3" t="inlineStr">
        <is>
          <t>SI</t>
        </is>
      </c>
      <c r="R205" s="3" t="inlineStr">
        <is>
          <t>UTP Arequipa</t>
        </is>
      </c>
      <c r="S205" s="3" t="n">
        <v>70110107</v>
      </c>
      <c r="T205" s="3" t="inlineStr">
        <is>
          <t>UTP PARRA WASHINGT 217-219 AREQUIPA</t>
        </is>
      </c>
      <c r="U205" s="3" t="n">
        <v>7272.73</v>
      </c>
      <c r="W205" s="3" t="inlineStr">
        <is>
          <t>C</t>
        </is>
      </c>
      <c r="X205" s="4" t="n">
        <v>46174</v>
      </c>
      <c r="Y205" s="4" t="n">
        <v>46325</v>
      </c>
      <c r="Z205" s="6" t="n"/>
      <c r="AA205" s="6" t="n"/>
      <c r="AB205" s="3" t="inlineStr">
        <is>
          <t>EN PROCESO</t>
        </is>
      </c>
      <c r="AD205" s="3" t="inlineStr">
        <is>
          <t>Mantenimiento</t>
        </is>
      </c>
      <c r="AE205" s="3" t="inlineStr">
        <is>
          <t>SC-0000132750-2026</t>
        </is>
      </c>
      <c r="AF205" s="7" t="n">
        <v>46185</v>
      </c>
      <c r="AI205" s="3" t="inlineStr">
        <is>
          <t>PROY1307</t>
        </is>
      </c>
      <c r="AJ205" s="3" t="inlineStr">
        <is>
          <t>UTP_Monitoreo remoto del panel BSCI y Grupo Electrógeno</t>
        </is>
      </c>
    </row>
    <row r="206">
      <c r="A206" s="3" t="n">
        <v>199</v>
      </c>
      <c r="B206" s="3" t="inlineStr">
        <is>
          <t>SSGG_099</t>
        </is>
      </c>
      <c r="C206" s="3" t="inlineStr">
        <is>
          <t>SSGG</t>
        </is>
      </c>
      <c r="D206" s="3" t="inlineStr">
        <is>
          <t xml:space="preserve">Elmer Raul ILLANES PAUCAR </t>
        </is>
      </c>
      <c r="F206" s="3" t="inlineStr">
        <is>
          <t>eillanes@utp,edu,pe</t>
        </is>
      </c>
      <c r="G206" s="3" t="inlineStr">
        <is>
          <t>994 690 404</t>
        </is>
      </c>
      <c r="H206" s="3" t="inlineStr">
        <is>
          <t>Monitoreo remoto del panel BSCI y Grupo Electrógeno Sede Central</t>
        </is>
      </c>
      <c r="Q206" s="3" t="inlineStr">
        <is>
          <t>SI</t>
        </is>
      </c>
      <c r="R206" s="3" t="inlineStr">
        <is>
          <t>UTP Lima Centro</t>
        </is>
      </c>
      <c r="S206" s="3" t="n">
        <v>10110201</v>
      </c>
      <c r="T206" s="3" t="inlineStr">
        <is>
          <t>UTP PETITTHOURS 116 -  LIMA</t>
        </is>
      </c>
      <c r="U206" s="3" t="n">
        <v>7272.73</v>
      </c>
      <c r="W206" s="3" t="inlineStr">
        <is>
          <t>C</t>
        </is>
      </c>
      <c r="X206" s="4" t="n">
        <v>46174</v>
      </c>
      <c r="Y206" s="4" t="n">
        <v>46325</v>
      </c>
      <c r="Z206" s="6" t="n"/>
      <c r="AA206" s="6" t="n"/>
      <c r="AB206" s="3" t="inlineStr">
        <is>
          <t>EN PROCESO</t>
        </is>
      </c>
      <c r="AD206" s="3" t="inlineStr">
        <is>
          <t>Mantenimiento</t>
        </is>
      </c>
      <c r="AE206" s="3" t="inlineStr">
        <is>
          <t>SC-0000132752-2026</t>
        </is>
      </c>
      <c r="AF206" s="7" t="n">
        <v>46185</v>
      </c>
      <c r="AI206" s="3" t="inlineStr">
        <is>
          <t>PROY1301</t>
        </is>
      </c>
      <c r="AJ206" s="3" t="inlineStr">
        <is>
          <t>UTP_Monitoreo remoto del panel BSCI y Grupo Electrógeno</t>
        </is>
      </c>
    </row>
    <row r="207">
      <c r="A207" s="3" t="n">
        <v>200</v>
      </c>
      <c r="B207" s="3" t="inlineStr">
        <is>
          <t>SSGG_100</t>
        </is>
      </c>
      <c r="C207" s="3" t="inlineStr">
        <is>
          <t>SSGG</t>
        </is>
      </c>
      <c r="D207" s="3" t="inlineStr">
        <is>
          <t xml:space="preserve">Elmer Raul ILLANES PAUCAR </t>
        </is>
      </c>
      <c r="F207" s="3" t="inlineStr">
        <is>
          <t>eillanes@utp,edu,pe</t>
        </is>
      </c>
      <c r="G207" s="3" t="inlineStr">
        <is>
          <t>994 690 404</t>
        </is>
      </c>
      <c r="H207" s="3" t="inlineStr">
        <is>
          <t>Monitoreo remoto del panel BSCI y Grupo Electrógeno Torre II</t>
        </is>
      </c>
      <c r="Q207" s="3" t="inlineStr">
        <is>
          <t>SI</t>
        </is>
      </c>
      <c r="R207" s="3" t="inlineStr">
        <is>
          <t>UTP Lima Centro</t>
        </is>
      </c>
      <c r="S207" s="3" t="n">
        <v>10110204</v>
      </c>
      <c r="T207" s="3" t="inlineStr">
        <is>
          <t>UTP PETIT THOU383-385-TORRE II - LIMA</t>
        </is>
      </c>
      <c r="U207" s="3" t="n">
        <v>7272.73</v>
      </c>
      <c r="W207" s="3" t="inlineStr">
        <is>
          <t>C</t>
        </is>
      </c>
      <c r="X207" s="4" t="n">
        <v>46174</v>
      </c>
      <c r="Y207" s="4" t="n">
        <v>46325</v>
      </c>
      <c r="Z207" s="6" t="n"/>
      <c r="AA207" s="6" t="n"/>
      <c r="AB207" s="3" t="inlineStr">
        <is>
          <t>EN PROCESO</t>
        </is>
      </c>
      <c r="AD207" s="3" t="inlineStr">
        <is>
          <t>Mantenimiento</t>
        </is>
      </c>
      <c r="AE207" s="3" t="inlineStr">
        <is>
          <t>SC-0000132753-2026</t>
        </is>
      </c>
      <c r="AF207" s="7" t="n">
        <v>46185</v>
      </c>
      <c r="AI207" s="3" t="inlineStr">
        <is>
          <t xml:space="preserve">	
PROY1299</t>
        </is>
      </c>
      <c r="AJ207" s="3" t="inlineStr">
        <is>
          <t>UTP_Monitoreo remoto del panel BSCI y Grupo Electrógeno</t>
        </is>
      </c>
      <c r="AM207" s="3" t="inlineStr">
        <is>
          <t>Pendiente Raul Illanes</t>
        </is>
      </c>
    </row>
    <row r="208">
      <c r="A208" s="3" t="n">
        <v>201</v>
      </c>
      <c r="B208" s="3" t="inlineStr">
        <is>
          <t>SSGG_101</t>
        </is>
      </c>
      <c r="C208" s="3" t="inlineStr">
        <is>
          <t>SSGG</t>
        </is>
      </c>
      <c r="D208" s="3" t="inlineStr">
        <is>
          <t>Eloy Pocohuanca</t>
        </is>
      </c>
      <c r="F208" s="3" t="inlineStr">
        <is>
          <t>epocohuanc@utp,edu,pe</t>
        </is>
      </c>
      <c r="G208" s="3" t="inlineStr">
        <is>
          <t>937 029 622</t>
        </is>
      </c>
      <c r="H208" s="3" t="inlineStr">
        <is>
          <t>Proyecto de estandarización de cafeterías Arequipa Parra 1</t>
        </is>
      </c>
      <c r="Q208" s="3" t="inlineStr">
        <is>
          <t>SI</t>
        </is>
      </c>
      <c r="R208" s="3" t="inlineStr">
        <is>
          <t>UTP Arequipa</t>
        </is>
      </c>
      <c r="S208" s="3" t="n">
        <v>70110103</v>
      </c>
      <c r="T208" s="3" t="inlineStr">
        <is>
          <t>UTP PARRA 201-203 -  AREQUIPA</t>
        </is>
      </c>
      <c r="U208" s="3" t="n">
        <v>15000</v>
      </c>
      <c r="V208" s="3" t="n">
        <v>15000</v>
      </c>
      <c r="W208" s="3" t="inlineStr">
        <is>
          <t>B</t>
        </is>
      </c>
      <c r="X208" s="4" t="n">
        <v>46113</v>
      </c>
      <c r="Y208" s="4" t="n">
        <v>46265</v>
      </c>
      <c r="Z208" s="4" t="n">
        <v>46174</v>
      </c>
      <c r="AA208" s="6" t="n"/>
      <c r="AB208" s="3" t="inlineStr">
        <is>
          <t>EJECUTADO</t>
        </is>
      </c>
      <c r="AD208" s="3" t="inlineStr">
        <is>
          <t>Proyectos Ops</t>
        </is>
      </c>
      <c r="AE208" s="3" t="inlineStr">
        <is>
          <t>SC-0000126648-2026 / SC-0000126650-2026</t>
        </is>
      </c>
      <c r="AF208" s="7" t="n">
        <v>46147</v>
      </c>
      <c r="AG208" s="3" t="inlineStr">
        <is>
          <t xml:space="preserve"> OC-0000133495-2026 / OC-0000135463-2026 / OC-0000142559-2026</t>
        </is>
      </c>
      <c r="AH208" s="3" t="inlineStr">
        <is>
          <t>04/06 / 15/06 08/04</t>
        </is>
      </c>
      <c r="AI208" s="3" t="inlineStr">
        <is>
          <t>AM000981</t>
        </is>
      </c>
      <c r="AJ208" s="3" t="inlineStr">
        <is>
          <t>UTP_Proyecto de estandarización de cafeterías Arequipa Parra 2</t>
        </is>
      </c>
      <c r="AM208" s="3" t="inlineStr">
        <is>
          <t>SC-0000126650-2026 (GENERICO) / NR OC-0000133495-2026 enviado</t>
        </is>
      </c>
      <c r="AO208" s="3" t="inlineStr">
        <is>
          <t>REVISAR MONTO</t>
        </is>
      </c>
    </row>
    <row r="209">
      <c r="A209" s="3" t="n">
        <v>202</v>
      </c>
      <c r="B209" s="3" t="inlineStr">
        <is>
          <t>SSGG_102</t>
        </is>
      </c>
      <c r="C209" s="3" t="inlineStr">
        <is>
          <t>SSGG</t>
        </is>
      </c>
      <c r="D209" s="3" t="inlineStr">
        <is>
          <t>Eloy Pocohuanca</t>
        </is>
      </c>
      <c r="F209" s="3" t="inlineStr">
        <is>
          <t>epocohuanc@utp,edu,pe</t>
        </is>
      </c>
      <c r="G209" s="3" t="inlineStr">
        <is>
          <t>937 029 622</t>
        </is>
      </c>
      <c r="H209" s="3" t="inlineStr">
        <is>
          <t>Proyecto de estandarización de cafeterías Arequipa TyA</t>
        </is>
      </c>
      <c r="Q209" s="3" t="inlineStr">
        <is>
          <t>SI</t>
        </is>
      </c>
      <c r="R209" s="3" t="inlineStr">
        <is>
          <t>UTP Arequipa</t>
        </is>
      </c>
      <c r="S209" s="3" t="n">
        <v>70110107</v>
      </c>
      <c r="T209" s="3" t="inlineStr">
        <is>
          <t>UTP PARRA WASHINGT 217-219 AREQUIPA</t>
        </is>
      </c>
      <c r="U209" s="3" t="n">
        <v>15000</v>
      </c>
      <c r="V209" s="3" t="n">
        <v>15000</v>
      </c>
      <c r="W209" s="3" t="inlineStr">
        <is>
          <t>B</t>
        </is>
      </c>
      <c r="X209" s="4" t="n">
        <v>46113</v>
      </c>
      <c r="Y209" s="4" t="n">
        <v>46265</v>
      </c>
      <c r="Z209" s="4" t="n">
        <v>46174</v>
      </c>
      <c r="AA209" s="6" t="n"/>
      <c r="AB209" s="3" t="inlineStr">
        <is>
          <t>EJECUTADO</t>
        </is>
      </c>
      <c r="AD209" s="3" t="inlineStr">
        <is>
          <t>Proyectos Ops</t>
        </is>
      </c>
      <c r="AE209" s="3" t="inlineStr">
        <is>
          <t>SC-0000126648-2026 / SC-0000126650-2026</t>
        </is>
      </c>
      <c r="AF209" s="7" t="n">
        <v>46147</v>
      </c>
      <c r="AG209" s="3" t="inlineStr">
        <is>
          <t xml:space="preserve"> OC-0000133495-2026/OC-0000142563-2026</t>
        </is>
      </c>
      <c r="AH209" s="3" t="inlineStr">
        <is>
          <t>04/06 /  08/04</t>
        </is>
      </c>
      <c r="AI209" s="3" t="inlineStr">
        <is>
          <t>AM000980</t>
        </is>
      </c>
      <c r="AJ209" s="3" t="inlineStr">
        <is>
          <t>UTP_Proyecto de estandarización de cafeterías Arequipa Parra 1</t>
        </is>
      </c>
      <c r="AM209" s="3" t="inlineStr">
        <is>
          <t>SC-0000126650-2026 (GENERICO) / NR OC-0000133495-2026 enviado/OC-0000142563-2026 NR ENVIADA</t>
        </is>
      </c>
      <c r="AO209" s="3" t="inlineStr">
        <is>
          <t>REVISAR MONTO</t>
        </is>
      </c>
    </row>
    <row r="210">
      <c r="A210" s="3" t="n">
        <v>203</v>
      </c>
      <c r="B210" s="3" t="inlineStr">
        <is>
          <t>SSGG_103</t>
        </is>
      </c>
      <c r="C210" s="3" t="inlineStr">
        <is>
          <t>SSGG</t>
        </is>
      </c>
      <c r="D210" s="3" t="inlineStr">
        <is>
          <t xml:space="preserve">Eloy Pocohuanca / Alberto Fajardo Corpancho / Elmer Raul ILLANES PAUCAR </t>
        </is>
      </c>
      <c r="F210" s="3" t="inlineStr">
        <is>
          <t>epocohuanc@utp,edu,pe / jfajardo@utp,edu,pe / eillanes@utp,edu,pe</t>
        </is>
      </c>
      <c r="G210" s="3" t="inlineStr">
        <is>
          <t>937 029 622 / 960 961 878 / 994 690 404</t>
        </is>
      </c>
      <c r="H210" s="3" t="inlineStr">
        <is>
          <t xml:space="preserve">Proyecto de estandarización de depósitos </t>
        </is>
      </c>
      <c r="Q210" s="3" t="inlineStr">
        <is>
          <t>SI</t>
        </is>
      </c>
      <c r="R210" s="3" t="inlineStr">
        <is>
          <t>UTP Lima Este</t>
        </is>
      </c>
      <c r="S210" s="3" t="n">
        <v>10220108</v>
      </c>
      <c r="T210" s="3" t="inlineStr">
        <is>
          <t>UTP N,AYLLON KM11,60 LOTE 96ATE -LIMA</t>
        </is>
      </c>
      <c r="U210" s="3" t="n">
        <v>29000</v>
      </c>
      <c r="W210" s="3" t="inlineStr">
        <is>
          <t>A</t>
        </is>
      </c>
      <c r="X210" s="4" t="n">
        <v>46174</v>
      </c>
      <c r="Y210" s="4" t="n">
        <v>46338</v>
      </c>
      <c r="Z210" s="6" t="n"/>
      <c r="AA210" s="6" t="n"/>
      <c r="AB210" s="3" t="inlineStr">
        <is>
          <t>EN PROCESO</t>
        </is>
      </c>
      <c r="AD210" s="3" t="inlineStr">
        <is>
          <t>Proyectos Ops / Seguridad / Mantenimiento</t>
        </is>
      </c>
      <c r="AE210" s="3" t="inlineStr">
        <is>
          <t>SC-0000138304-2026</t>
        </is>
      </c>
      <c r="AF210" s="7" t="n">
        <v>46230</v>
      </c>
      <c r="AI210" s="3" t="inlineStr">
        <is>
          <t>PROY1320</t>
        </is>
      </c>
      <c r="AJ210" s="3" t="inlineStr">
        <is>
          <t xml:space="preserve">UTP_Proyecto de estandarización de depósitos </t>
        </is>
      </c>
      <c r="AM210" s="3" t="inlineStr">
        <is>
          <t>Consultar con Raul</t>
        </is>
      </c>
    </row>
    <row r="211">
      <c r="A211" s="3" t="n">
        <v>204</v>
      </c>
      <c r="B211" s="3" t="inlineStr">
        <is>
          <t>SSGG_104</t>
        </is>
      </c>
      <c r="C211" s="3" t="inlineStr">
        <is>
          <t>SSGG</t>
        </is>
      </c>
      <c r="D211" s="3" t="inlineStr">
        <is>
          <t xml:space="preserve">Eloy Pocohuanca / Alberto Fajardo Corpancho / Elmer Raul ILLANES PAUCAR </t>
        </is>
      </c>
      <c r="F211" s="3" t="inlineStr">
        <is>
          <t>epocohuanc@utp,edu,pe / jfajardo@utp,edu,pe / eillanes@utp,edu,pe</t>
        </is>
      </c>
      <c r="G211" s="3" t="inlineStr">
        <is>
          <t>937 029 622 / 960 961 878 / 994 690 404</t>
        </is>
      </c>
      <c r="H211" s="3" t="inlineStr">
        <is>
          <t xml:space="preserve">Proyecto de estandarización de depósitos </t>
        </is>
      </c>
      <c r="Q211" s="3" t="inlineStr">
        <is>
          <t>SI</t>
        </is>
      </c>
      <c r="R211" s="3" t="inlineStr">
        <is>
          <t>UTP Chiclayo</t>
        </is>
      </c>
      <c r="S211" s="3" t="n">
        <v>70120201</v>
      </c>
      <c r="T211" s="3" t="inlineStr">
        <is>
          <t>UTP AV, PROGRESO CON AV, EVITAMIENTO S/N  - CHICLAYO</t>
        </is>
      </c>
      <c r="U211" s="3" t="n">
        <v>39000</v>
      </c>
      <c r="W211" s="3" t="inlineStr">
        <is>
          <t>A</t>
        </is>
      </c>
      <c r="X211" s="4" t="n">
        <v>46174</v>
      </c>
      <c r="Y211" s="4" t="n">
        <v>46338</v>
      </c>
      <c r="Z211" s="6" t="n"/>
      <c r="AA211" s="6" t="n"/>
      <c r="AB211" s="3" t="inlineStr">
        <is>
          <t>EN PROCESO</t>
        </is>
      </c>
      <c r="AD211" s="3" t="inlineStr">
        <is>
          <t>Proyectos Ops / Seguridad / Mantenimiento</t>
        </is>
      </c>
      <c r="AE211" s="3" t="inlineStr">
        <is>
          <t>SC-0000138330-2026</t>
        </is>
      </c>
      <c r="AF211" s="7" t="n">
        <v>46230</v>
      </c>
      <c r="AI211" s="3" t="inlineStr">
        <is>
          <t>PROY1321</t>
        </is>
      </c>
      <c r="AJ211" s="3" t="inlineStr">
        <is>
          <t xml:space="preserve">UTP_Proyecto de estandarización de depósitos </t>
        </is>
      </c>
      <c r="AM211" s="3" t="inlineStr">
        <is>
          <t>Consultar con Raul</t>
        </is>
      </c>
    </row>
    <row r="212">
      <c r="A212" s="3" t="n">
        <v>205</v>
      </c>
      <c r="B212" s="3" t="inlineStr">
        <is>
          <t>SSGG_105</t>
        </is>
      </c>
      <c r="C212" s="3" t="inlineStr">
        <is>
          <t>SSGG</t>
        </is>
      </c>
      <c r="D212" s="3" t="inlineStr">
        <is>
          <t xml:space="preserve">Eloy Pocohuanca / Alberto Fajardo Corpancho / Elmer Raul ILLANES PAUCAR </t>
        </is>
      </c>
      <c r="F212" s="3" t="inlineStr">
        <is>
          <t>epocohuanc@utp,edu,pe / jfajardo@utp,edu,pe / eillanes@utp,edu,pe</t>
        </is>
      </c>
      <c r="G212" s="3" t="inlineStr">
        <is>
          <t>937 029 622 / 960 961 878 / 994 690 404</t>
        </is>
      </c>
      <c r="H212" s="3" t="inlineStr">
        <is>
          <t xml:space="preserve">Proyecto de estandarización de depósitos </t>
        </is>
      </c>
      <c r="Q212" s="3" t="inlineStr">
        <is>
          <t>SI</t>
        </is>
      </c>
      <c r="R212" s="3" t="inlineStr">
        <is>
          <t>UTP Chimbote</t>
        </is>
      </c>
      <c r="S212" s="3" t="n">
        <v>70150101</v>
      </c>
      <c r="T212" s="3" t="inlineStr">
        <is>
          <t>UTP PASERO DEL MAR MZ C9- LT2 - CHIMBOTE</t>
        </is>
      </c>
      <c r="U212" s="3" t="n">
        <v>19500</v>
      </c>
      <c r="W212" s="3" t="inlineStr">
        <is>
          <t>A</t>
        </is>
      </c>
      <c r="X212" s="4" t="n">
        <v>46174</v>
      </c>
      <c r="Y212" s="4" t="n">
        <v>46338</v>
      </c>
      <c r="Z212" s="6" t="n"/>
      <c r="AA212" s="6" t="n"/>
      <c r="AB212" s="3" t="inlineStr">
        <is>
          <t>EN PROCESO</t>
        </is>
      </c>
      <c r="AD212" s="3" t="inlineStr">
        <is>
          <t>Proyectos Ops / Seguridad / Mantenimiento</t>
        </is>
      </c>
      <c r="AE212" s="3" t="inlineStr">
        <is>
          <t>SC-0000138339-2026</t>
        </is>
      </c>
      <c r="AF212" s="7" t="n">
        <v>46230</v>
      </c>
      <c r="AI212" s="3" t="inlineStr">
        <is>
          <t>PROY1322</t>
        </is>
      </c>
      <c r="AJ212" s="3" t="inlineStr">
        <is>
          <t xml:space="preserve">UTP_Proyecto de estandarización de depósitos </t>
        </is>
      </c>
      <c r="AM212" s="3" t="inlineStr">
        <is>
          <t>Consultar con Raul</t>
        </is>
      </c>
    </row>
    <row r="213">
      <c r="A213" s="3" t="n">
        <v>206</v>
      </c>
      <c r="B213" s="3" t="inlineStr">
        <is>
          <t>SSGG_106</t>
        </is>
      </c>
      <c r="C213" s="3" t="inlineStr">
        <is>
          <t>SSGG</t>
        </is>
      </c>
      <c r="D213" s="3" t="inlineStr">
        <is>
          <t xml:space="preserve">Eloy Pocohuanca / Alberto Fajardo Corpancho / Elmer Raul ILLANES PAUCAR </t>
        </is>
      </c>
      <c r="F213" s="3" t="inlineStr">
        <is>
          <t>epocohuanc@utp,edu,pe / jfajardo@utp,edu,pe / eillanes@utp,edu,pe</t>
        </is>
      </c>
      <c r="G213" s="3" t="inlineStr">
        <is>
          <t>937 029 622 / 960 961 878 / 994 690 404</t>
        </is>
      </c>
      <c r="H213" s="3" t="inlineStr">
        <is>
          <t xml:space="preserve">Proyecto de estandarización de depósitos </t>
        </is>
      </c>
      <c r="Q213" s="3" t="inlineStr">
        <is>
          <t>SI</t>
        </is>
      </c>
      <c r="R213" s="3" t="inlineStr">
        <is>
          <t>UTP Huancayo</t>
        </is>
      </c>
      <c r="S213" s="3" t="n">
        <v>70190101</v>
      </c>
      <c r="T213" s="3" t="inlineStr">
        <is>
          <t>UTP AV,CIRCUNVALACIÓN 449 - HUANCAYO</t>
        </is>
      </c>
      <c r="U213" s="3" t="n">
        <v>19500</v>
      </c>
      <c r="W213" s="3" t="inlineStr">
        <is>
          <t>A</t>
        </is>
      </c>
      <c r="X213" s="4" t="n">
        <v>46174</v>
      </c>
      <c r="Y213" s="4" t="n">
        <v>46338</v>
      </c>
      <c r="Z213" s="6" t="n"/>
      <c r="AA213" s="6" t="n"/>
      <c r="AB213" s="3" t="inlineStr">
        <is>
          <t>EN PROCESO</t>
        </is>
      </c>
      <c r="AD213" s="3" t="inlineStr">
        <is>
          <t>Proyectos Ops / Seguridad / Mantenimiento</t>
        </is>
      </c>
      <c r="AE213" s="3" t="inlineStr">
        <is>
          <t>SC-0000138343-2026</t>
        </is>
      </c>
      <c r="AF213" s="7" t="n">
        <v>46230</v>
      </c>
      <c r="AI213" s="3" t="inlineStr">
        <is>
          <t>PROY1323</t>
        </is>
      </c>
      <c r="AJ213" s="3" t="inlineStr">
        <is>
          <t xml:space="preserve">UTP_Proyecto de estandarización de depósitos </t>
        </is>
      </c>
      <c r="AM213" s="3" t="inlineStr">
        <is>
          <t>Consultar con Raul</t>
        </is>
      </c>
    </row>
    <row r="214">
      <c r="A214" s="3" t="n">
        <v>207</v>
      </c>
      <c r="B214" s="3" t="inlineStr">
        <is>
          <t>SSGG_107</t>
        </is>
      </c>
      <c r="C214" s="3" t="inlineStr">
        <is>
          <t>SSGG</t>
        </is>
      </c>
      <c r="D214" s="3" t="inlineStr">
        <is>
          <t xml:space="preserve">Eloy Pocohuanca / Alberto Fajardo Corpancho / Elmer Raul ILLANES PAUCAR </t>
        </is>
      </c>
      <c r="F214" s="3" t="inlineStr">
        <is>
          <t>epocohuanc@utp,edu,pe / jfajardo@utp,edu,pe / eillanes@utp,edu,pe</t>
        </is>
      </c>
      <c r="G214" s="3" t="inlineStr">
        <is>
          <t>937 029 622 / 960 961 878 / 994 690 404</t>
        </is>
      </c>
      <c r="H214" s="3" t="inlineStr">
        <is>
          <t xml:space="preserve">Proyecto de estandarización de depósitos </t>
        </is>
      </c>
      <c r="Q214" s="3" t="inlineStr">
        <is>
          <t>SI</t>
        </is>
      </c>
      <c r="R214" s="3" t="inlineStr">
        <is>
          <t>UTP Piura</t>
        </is>
      </c>
      <c r="S214" s="3" t="n">
        <v>70170101</v>
      </c>
      <c r="T214" s="3" t="inlineStr">
        <is>
          <t>UTP AV,PANAMERICANA 234 -PIURA</t>
        </is>
      </c>
      <c r="U214" s="3" t="n">
        <v>19500</v>
      </c>
      <c r="W214" s="3" t="inlineStr">
        <is>
          <t>A</t>
        </is>
      </c>
      <c r="X214" s="4" t="n">
        <v>46174</v>
      </c>
      <c r="Y214" s="4" t="n">
        <v>46338</v>
      </c>
      <c r="Z214" s="6" t="n"/>
      <c r="AA214" s="6" t="n"/>
      <c r="AB214" s="3" t="inlineStr">
        <is>
          <t>EN PROCESO</t>
        </is>
      </c>
      <c r="AD214" s="3" t="inlineStr">
        <is>
          <t>Proyectos Ops / Seguridad / Mantenimiento</t>
        </is>
      </c>
      <c r="AE214" s="3" t="inlineStr">
        <is>
          <t xml:space="preserve"> SC-0000138344-2026</t>
        </is>
      </c>
      <c r="AF214" s="7" t="n">
        <v>46230</v>
      </c>
      <c r="AI214" s="3" t="inlineStr">
        <is>
          <t>PROY1328</t>
        </is>
      </c>
      <c r="AJ214" s="3" t="inlineStr">
        <is>
          <t xml:space="preserve">UTP_Proyecto de estandarización de depósitos </t>
        </is>
      </c>
      <c r="AM214" s="3" t="inlineStr">
        <is>
          <t>Consultar con Raul</t>
        </is>
      </c>
    </row>
    <row r="215">
      <c r="A215" s="3" t="n">
        <v>208</v>
      </c>
      <c r="B215" s="3" t="inlineStr">
        <is>
          <t>SSGG_108</t>
        </is>
      </c>
      <c r="C215" s="3" t="inlineStr">
        <is>
          <t>SSGG</t>
        </is>
      </c>
      <c r="D215" s="3" t="inlineStr">
        <is>
          <t xml:space="preserve">Eloy Pocohuanca / Alberto Fajardo Corpancho / Elmer Raul ILLANES PAUCAR </t>
        </is>
      </c>
      <c r="F215" s="3" t="inlineStr">
        <is>
          <t>epocohuanc@utp,edu,pe / jfajardo@utp,edu,pe / eillanes@utp,edu,pe</t>
        </is>
      </c>
      <c r="G215" s="3" t="inlineStr">
        <is>
          <t>937 029 622 / 960 961 878 / 994 690 404</t>
        </is>
      </c>
      <c r="H215" s="3" t="inlineStr">
        <is>
          <t xml:space="preserve">Proyecto de estandarización de depósitos </t>
        </is>
      </c>
      <c r="Q215" s="3" t="inlineStr">
        <is>
          <t>SI</t>
        </is>
      </c>
      <c r="R215" s="3" t="inlineStr">
        <is>
          <t>UTP SJL</t>
        </is>
      </c>
      <c r="S215" s="3" t="n">
        <v>10220110</v>
      </c>
      <c r="T215" s="3" t="inlineStr">
        <is>
          <t>UTP AV,SOL SUB LT 13B MZG SJL - LIMA</t>
        </is>
      </c>
      <c r="U215" s="3" t="n">
        <v>19500</v>
      </c>
      <c r="W215" s="3" t="inlineStr">
        <is>
          <t>A</t>
        </is>
      </c>
      <c r="X215" s="4" t="n">
        <v>46174</v>
      </c>
      <c r="Y215" s="4" t="n">
        <v>46338</v>
      </c>
      <c r="Z215" s="6" t="n"/>
      <c r="AA215" s="6" t="n"/>
      <c r="AB215" s="3" t="inlineStr">
        <is>
          <t>EN PROCESO</t>
        </is>
      </c>
      <c r="AD215" s="3" t="inlineStr">
        <is>
          <t>Proyectos Ops / Seguridad / Mantenimiento</t>
        </is>
      </c>
      <c r="AE215" s="3" t="inlineStr">
        <is>
          <t>SC-0000138347-2026</t>
        </is>
      </c>
      <c r="AF215" s="7" t="n">
        <v>46230</v>
      </c>
      <c r="AI215" s="3" t="inlineStr">
        <is>
          <t>PROY1329</t>
        </is>
      </c>
      <c r="AJ215" s="3" t="inlineStr">
        <is>
          <t xml:space="preserve">UTP_Proyecto de estandarización de depósitos </t>
        </is>
      </c>
      <c r="AM215" s="3" t="inlineStr">
        <is>
          <t>Consultar con Raul</t>
        </is>
      </c>
    </row>
    <row r="216">
      <c r="A216" s="3" t="n">
        <v>209</v>
      </c>
      <c r="B216" s="3" t="inlineStr">
        <is>
          <t>SSGG_109</t>
        </is>
      </c>
      <c r="C216" s="3" t="inlineStr">
        <is>
          <t>SSGG</t>
        </is>
      </c>
      <c r="D216" s="3" t="inlineStr">
        <is>
          <t xml:space="preserve">Eloy Pocohuanca / Alberto Fajardo Corpancho / Elmer Raul ILLANES PAUCAR </t>
        </is>
      </c>
      <c r="F216" s="3" t="inlineStr">
        <is>
          <t>epocohuanc@utp,edu,pe / jfajardo@utp,edu,pe / eillanes@utp,edu,pe</t>
        </is>
      </c>
      <c r="G216" s="3" t="inlineStr">
        <is>
          <t>937 029 622 / 960 961 878 / 994 690 404</t>
        </is>
      </c>
      <c r="H216" s="3" t="inlineStr">
        <is>
          <t>Proyecto de estandarización de depósitos Arequipa Parra 1</t>
        </is>
      </c>
      <c r="Q216" s="3" t="inlineStr">
        <is>
          <t>SI</t>
        </is>
      </c>
      <c r="R216" s="3" t="inlineStr">
        <is>
          <t>UTP Arequipa</t>
        </is>
      </c>
      <c r="S216" s="3" t="n">
        <v>70110103</v>
      </c>
      <c r="T216" s="3" t="inlineStr">
        <is>
          <t>UTP PARRA 201-203 -  AREQUIPA</t>
        </is>
      </c>
      <c r="U216" s="3" t="n">
        <v>39000</v>
      </c>
      <c r="W216" s="3" t="inlineStr">
        <is>
          <t>A</t>
        </is>
      </c>
      <c r="X216" s="4" t="n">
        <v>46174</v>
      </c>
      <c r="Y216" s="4" t="n">
        <v>46338</v>
      </c>
      <c r="Z216" s="6" t="n"/>
      <c r="AA216" s="6" t="n"/>
      <c r="AB216" s="3" t="inlineStr">
        <is>
          <t>EN PROCESO</t>
        </is>
      </c>
      <c r="AD216" s="3" t="inlineStr">
        <is>
          <t>Proyectos Ops / Seguridad / Mantenimiento</t>
        </is>
      </c>
      <c r="AE216" s="3" t="inlineStr">
        <is>
          <t>SC-0000138348-2026</t>
        </is>
      </c>
      <c r="AF216" s="7" t="n">
        <v>46230</v>
      </c>
      <c r="AI216" s="3" t="inlineStr">
        <is>
          <t>PROY1319</t>
        </is>
      </c>
      <c r="AJ216" s="3" t="inlineStr">
        <is>
          <t xml:space="preserve">UTP_Proyecto de estandarización de depósitos </t>
        </is>
      </c>
      <c r="AM216" s="3" t="inlineStr">
        <is>
          <t>Consultar con Raul</t>
        </is>
      </c>
    </row>
    <row r="217">
      <c r="A217" s="3" t="n">
        <v>210</v>
      </c>
      <c r="B217" s="3" t="inlineStr">
        <is>
          <t>SSGG_110</t>
        </is>
      </c>
      <c r="C217" s="3" t="inlineStr">
        <is>
          <t>SSGG</t>
        </is>
      </c>
      <c r="D217" s="3" t="inlineStr">
        <is>
          <t xml:space="preserve">Eloy Pocohuanca / Alberto Fajardo Corpancho / Elmer Raul ILLANES PAUCAR </t>
        </is>
      </c>
      <c r="F217" s="3" t="inlineStr">
        <is>
          <t>epocohuanc@utp,edu,pe / jfajardo@utp,edu,pe / eillanes@utp,edu,pe</t>
        </is>
      </c>
      <c r="G217" s="3" t="inlineStr">
        <is>
          <t>937 029 622 / 960 961 878 / 994 690 404</t>
        </is>
      </c>
      <c r="H217" s="3" t="inlineStr">
        <is>
          <t>Proyecto de estandarización de depósitos Arequipa TyA</t>
        </is>
      </c>
      <c r="Q217" s="3" t="inlineStr">
        <is>
          <t>SI</t>
        </is>
      </c>
      <c r="R217" s="3" t="inlineStr">
        <is>
          <t>UTP Arequipa</t>
        </is>
      </c>
      <c r="S217" s="3" t="n">
        <v>70110101</v>
      </c>
      <c r="T217" s="3" t="inlineStr">
        <is>
          <t>UTP TACNA-ARICA 158-160-162 - AREQUIPA</t>
        </is>
      </c>
      <c r="U217" s="3" t="n">
        <v>39000</v>
      </c>
      <c r="W217" s="3" t="inlineStr">
        <is>
          <t>A</t>
        </is>
      </c>
      <c r="X217" s="4" t="n">
        <v>46174</v>
      </c>
      <c r="Y217" s="4" t="n">
        <v>46338</v>
      </c>
      <c r="Z217" s="6" t="n"/>
      <c r="AA217" s="6" t="n"/>
      <c r="AB217" s="3" t="inlineStr">
        <is>
          <t>EN PROCESO</t>
        </is>
      </c>
      <c r="AD217" s="3" t="inlineStr">
        <is>
          <t>Proyectos Ops / Seguridad / Mantenimiento</t>
        </is>
      </c>
      <c r="AE217" s="3" t="inlineStr">
        <is>
          <t>SC-0000138349-2026</t>
        </is>
      </c>
      <c r="AF217" s="7" t="n">
        <v>46230</v>
      </c>
      <c r="AI217" s="3" t="inlineStr">
        <is>
          <t>PROY1318</t>
        </is>
      </c>
      <c r="AJ217" s="3" t="inlineStr">
        <is>
          <t xml:space="preserve">UTP_Proyecto de estandarización de depósitos </t>
        </is>
      </c>
      <c r="AM217" s="3" t="inlineStr">
        <is>
          <t>Consultar con Raul</t>
        </is>
      </c>
    </row>
    <row r="218">
      <c r="A218" s="3" t="n">
        <v>211</v>
      </c>
      <c r="B218" s="3" t="inlineStr">
        <is>
          <t>SSGG_111</t>
        </is>
      </c>
      <c r="C218" s="3" t="inlineStr">
        <is>
          <t>SSGG</t>
        </is>
      </c>
      <c r="D218" s="3" t="inlineStr">
        <is>
          <t xml:space="preserve">Eloy Pocohuanca / Alberto Fajardo Corpancho / Elmer Raul ILLANES PAUCAR </t>
        </is>
      </c>
      <c r="F218" s="3" t="inlineStr">
        <is>
          <t>epocohuanc@utp,edu,pe / jfajardo@utp,edu,pe / eillanes@utp,edu,pe</t>
        </is>
      </c>
      <c r="G218" s="3" t="inlineStr">
        <is>
          <t>937 029 622 / 960 961 878 / 994 690 404</t>
        </is>
      </c>
      <c r="H218" s="3" t="inlineStr">
        <is>
          <t>Proyecto de estandarización de depósitos LC Sede Central</t>
        </is>
      </c>
      <c r="Q218" s="3" t="inlineStr">
        <is>
          <t>SI</t>
        </is>
      </c>
      <c r="R218" s="3" t="inlineStr">
        <is>
          <t>UTP Lima Centro</t>
        </is>
      </c>
      <c r="S218" s="3" t="n">
        <v>10110201</v>
      </c>
      <c r="T218" s="3" t="inlineStr">
        <is>
          <t>UTP PETITTHOURS 116 -  LIMA</t>
        </is>
      </c>
      <c r="U218" s="3" t="n">
        <v>44000</v>
      </c>
      <c r="W218" s="3" t="inlineStr">
        <is>
          <t>A</t>
        </is>
      </c>
      <c r="X218" s="4" t="n">
        <v>46174</v>
      </c>
      <c r="Y218" s="4" t="n">
        <v>46338</v>
      </c>
      <c r="Z218" s="6" t="n"/>
      <c r="AA218" s="6" t="n"/>
      <c r="AB218" s="3" t="inlineStr">
        <is>
          <t>EN PROCESO</t>
        </is>
      </c>
      <c r="AD218" s="3" t="inlineStr">
        <is>
          <t>Proyectos Ops / Seguridad / Mantenimiento</t>
        </is>
      </c>
      <c r="AE218" s="3" t="inlineStr">
        <is>
          <t>SC-0000138351-2026</t>
        </is>
      </c>
      <c r="AF218" s="7" t="n">
        <v>46230</v>
      </c>
      <c r="AI218" s="3" t="inlineStr">
        <is>
          <t>PROY1326</t>
        </is>
      </c>
      <c r="AJ218" s="3" t="inlineStr">
        <is>
          <t xml:space="preserve">UTP_Proyecto de estandarización de depósitos </t>
        </is>
      </c>
      <c r="AM218" s="3" t="inlineStr">
        <is>
          <t>Consultar con Raul</t>
        </is>
      </c>
    </row>
    <row r="219">
      <c r="A219" s="3" t="n">
        <v>212</v>
      </c>
      <c r="B219" s="3" t="inlineStr">
        <is>
          <t>SSGG_112</t>
        </is>
      </c>
      <c r="C219" s="3" t="inlineStr">
        <is>
          <t>SSGG</t>
        </is>
      </c>
      <c r="D219" s="3" t="inlineStr">
        <is>
          <t xml:space="preserve">Eloy Pocohuanca / Alberto Fajardo Corpancho / Elmer Raul ILLANES PAUCAR </t>
        </is>
      </c>
      <c r="F219" s="3" t="inlineStr">
        <is>
          <t>epocohuanc@utp,edu,pe / jfajardo@utp,edu,pe / eillanes@utp,edu,pe</t>
        </is>
      </c>
      <c r="G219" s="3" t="inlineStr">
        <is>
          <t>937 029 622 / 960 961 878 / 994 690 404</t>
        </is>
      </c>
      <c r="H219" s="3" t="inlineStr">
        <is>
          <t>Proyecto de estandarización de depósitos LC Torre II</t>
        </is>
      </c>
      <c r="Q219" s="3" t="inlineStr">
        <is>
          <t>SI</t>
        </is>
      </c>
      <c r="R219" s="3" t="inlineStr">
        <is>
          <t>UTP Lima Centro</t>
        </is>
      </c>
      <c r="S219" s="3" t="n">
        <v>10110204</v>
      </c>
      <c r="T219" s="3" t="inlineStr">
        <is>
          <t>UTP PETIT THOU383-385-TORRE II - LIMA</t>
        </is>
      </c>
      <c r="U219" s="3" t="n">
        <v>44000</v>
      </c>
      <c r="W219" s="3" t="inlineStr">
        <is>
          <t>A</t>
        </is>
      </c>
      <c r="X219" s="4" t="n">
        <v>46174</v>
      </c>
      <c r="Y219" s="4" t="n">
        <v>46338</v>
      </c>
      <c r="Z219" s="6" t="n"/>
      <c r="AA219" s="6" t="n"/>
      <c r="AB219" s="3" t="inlineStr">
        <is>
          <t>EN PROCESO</t>
        </is>
      </c>
      <c r="AD219" s="3" t="inlineStr">
        <is>
          <t>Proyectos Ops / Seguridad / Mantenimiento</t>
        </is>
      </c>
      <c r="AE219" s="3" t="inlineStr">
        <is>
          <t>SC-0000138352-2026</t>
        </is>
      </c>
      <c r="AF219" s="7" t="n">
        <v>46230</v>
      </c>
      <c r="AI219" s="3" t="inlineStr">
        <is>
          <t>PROY1324</t>
        </is>
      </c>
      <c r="AJ219" s="3" t="inlineStr">
        <is>
          <t xml:space="preserve">UTP_Proyecto de estandarización de depósitos </t>
        </is>
      </c>
      <c r="AM219" s="3" t="inlineStr">
        <is>
          <t>En etapa de definición de alcance Raul y Eloy</t>
        </is>
      </c>
    </row>
    <row r="220">
      <c r="A220" s="3" t="n">
        <v>213</v>
      </c>
      <c r="B220" s="3" t="inlineStr">
        <is>
          <t>SSGG_113</t>
        </is>
      </c>
      <c r="C220" s="3" t="inlineStr">
        <is>
          <t>SSGG</t>
        </is>
      </c>
      <c r="D220" s="3" t="inlineStr">
        <is>
          <t xml:space="preserve">Eloy Pocohuanca / Alberto Fajardo Corpancho / Elmer Raul ILLANES PAUCAR </t>
        </is>
      </c>
      <c r="F220" s="3" t="inlineStr">
        <is>
          <t>epocohuanc@utp,edu,pe / jfajardo@utp,edu,pe / eillanes@utp,edu,pe</t>
        </is>
      </c>
      <c r="G220" s="3" t="inlineStr">
        <is>
          <t>937 029 622 / 960 961 878 / 994 690 404</t>
        </is>
      </c>
      <c r="H220" s="3" t="inlineStr">
        <is>
          <t>Proyecto de estandarización de depósitos LC TTA</t>
        </is>
      </c>
      <c r="Q220" s="3" t="inlineStr">
        <is>
          <t>SI</t>
        </is>
      </c>
      <c r="R220" s="3" t="inlineStr">
        <is>
          <t>UTP Lima Centro</t>
        </is>
      </c>
      <c r="S220" s="3" t="n">
        <v>10110205</v>
      </c>
      <c r="T220" s="3" t="inlineStr">
        <is>
          <t>UTP AV, AREQUIPA 265-279 - LIMA</t>
        </is>
      </c>
      <c r="U220" s="3" t="n">
        <v>44000</v>
      </c>
      <c r="W220" s="3" t="inlineStr">
        <is>
          <t>A</t>
        </is>
      </c>
      <c r="X220" s="4" t="n">
        <v>46174</v>
      </c>
      <c r="Y220" s="4" t="n">
        <v>46338</v>
      </c>
      <c r="Z220" s="6" t="n"/>
      <c r="AA220" s="6" t="n"/>
      <c r="AB220" s="3" t="inlineStr">
        <is>
          <t>EN PROCESO</t>
        </is>
      </c>
      <c r="AD220" s="3" t="inlineStr">
        <is>
          <t>Proyectos Ops / Seguridad / Mantenimiento</t>
        </is>
      </c>
      <c r="AE220" s="3" t="inlineStr">
        <is>
          <t>SC-0000138354-2026</t>
        </is>
      </c>
      <c r="AF220" s="7" t="n">
        <v>46230</v>
      </c>
      <c r="AI220" s="3" t="inlineStr">
        <is>
          <t>PROY1325</t>
        </is>
      </c>
      <c r="AJ220" s="3" t="inlineStr">
        <is>
          <t xml:space="preserve">UTP_Proyecto de estandarización de depósitos </t>
        </is>
      </c>
      <c r="AM220" s="3" t="inlineStr">
        <is>
          <t>Consultar con Raul</t>
        </is>
      </c>
    </row>
    <row r="221">
      <c r="A221" s="3" t="n">
        <v>214</v>
      </c>
      <c r="B221" s="3" t="inlineStr">
        <is>
          <t>SSGG_114</t>
        </is>
      </c>
      <c r="C221" s="3" t="inlineStr">
        <is>
          <t>SSGG</t>
        </is>
      </c>
      <c r="D221" s="3" t="inlineStr">
        <is>
          <t xml:space="preserve">Eloy Pocohuanca / Alberto Fajardo Corpancho / Elmer Raul ILLANES PAUCAR </t>
        </is>
      </c>
      <c r="F221" s="3" t="inlineStr">
        <is>
          <t>epocohuanc@utp,edu,pe / jfajardo@utp,edu,pe / eillanes@utp,edu,pe</t>
        </is>
      </c>
      <c r="G221" s="3" t="inlineStr">
        <is>
          <t>937 029 622 / 960 961 878 / 994 690 404</t>
        </is>
      </c>
      <c r="H221" s="3" t="inlineStr">
        <is>
          <t>Proyecto de estandarización de depósitos Pacífico</t>
        </is>
      </c>
      <c r="Q221" s="3" t="inlineStr">
        <is>
          <t>SI</t>
        </is>
      </c>
      <c r="R221" s="3" t="inlineStr">
        <is>
          <t>UTP Lima Centro</t>
        </is>
      </c>
      <c r="S221" s="3" t="n">
        <v>10110102</v>
      </c>
      <c r="T221" s="3" t="inlineStr">
        <is>
          <t>UTP AREQUIPA 660- 670 - LIMA</t>
        </is>
      </c>
      <c r="U221" s="3" t="n">
        <v>44000</v>
      </c>
      <c r="W221" s="3" t="inlineStr">
        <is>
          <t>A</t>
        </is>
      </c>
      <c r="X221" s="4" t="n">
        <v>46235</v>
      </c>
      <c r="Y221" s="4" t="n">
        <v>46295</v>
      </c>
      <c r="Z221" s="6" t="n"/>
      <c r="AA221" s="6" t="n"/>
      <c r="AB221" s="3" t="inlineStr">
        <is>
          <t>EN PROCESO</t>
        </is>
      </c>
      <c r="AD221" s="3" t="inlineStr">
        <is>
          <t>Proyectos Ops / Seguridad / Mantenimiento</t>
        </is>
      </c>
      <c r="AE221" s="3" t="inlineStr">
        <is>
          <t>SC-0000138356-2026</t>
        </is>
      </c>
      <c r="AF221" s="7" t="n">
        <v>46230</v>
      </c>
      <c r="AI221" s="3" t="inlineStr">
        <is>
          <t>PROY1327</t>
        </is>
      </c>
      <c r="AJ221" s="3" t="inlineStr">
        <is>
          <t xml:space="preserve">UTP_Proyecto de estandarización de depósitos </t>
        </is>
      </c>
      <c r="AM221" s="3" t="inlineStr">
        <is>
          <t>Consultar con Raul</t>
        </is>
      </c>
    </row>
    <row r="222">
      <c r="A222" s="3" t="n">
        <v>215</v>
      </c>
      <c r="B222" s="3" t="inlineStr">
        <is>
          <t>SSGG_115</t>
        </is>
      </c>
      <c r="C222" s="3" t="inlineStr">
        <is>
          <t>SSGG</t>
        </is>
      </c>
      <c r="D222" s="3" t="inlineStr">
        <is>
          <t>Eloy / Alfredo / Alberto / Raul</t>
        </is>
      </c>
      <c r="H222" s="3" t="inlineStr">
        <is>
          <t>Proyecto de estandarización de extintores laboratorios especializados</t>
        </is>
      </c>
      <c r="Q222" s="3" t="inlineStr">
        <is>
          <t>SI</t>
        </is>
      </c>
      <c r="R222" s="3" t="inlineStr">
        <is>
          <t>UTP Lima Norte</t>
        </is>
      </c>
      <c r="S222" s="3" t="n">
        <v>10220111</v>
      </c>
      <c r="T222" s="3" t="inlineStr">
        <is>
          <t>UTP AV,INFANTAS MZ 2E LOTE 28, URB, STA LUISA - LOS OLIVOS</t>
        </is>
      </c>
      <c r="U222" s="3" t="n">
        <v>2987.17</v>
      </c>
      <c r="V222" s="3" t="n">
        <v>2987.17</v>
      </c>
      <c r="W222" s="3" t="inlineStr">
        <is>
          <t>A</t>
        </is>
      </c>
      <c r="X222" s="4" t="n">
        <v>46082</v>
      </c>
      <c r="Y222" s="4" t="n">
        <v>46203</v>
      </c>
      <c r="Z222" s="4" t="n">
        <v>46082</v>
      </c>
      <c r="AA222" s="4" t="n">
        <v>46163</v>
      </c>
      <c r="AB222" s="3" t="inlineStr">
        <is>
          <t>EJECUTADO</t>
        </is>
      </c>
      <c r="AC222" s="3" t="inlineStr">
        <is>
          <t>EJECUTADO</t>
        </is>
      </c>
      <c r="AD222" s="3" t="inlineStr">
        <is>
          <t>Proyectos Ops / Labs / Seguridad</t>
        </is>
      </c>
      <c r="AE222" s="3" t="inlineStr">
        <is>
          <t>SC-0000118293-2026</t>
        </is>
      </c>
      <c r="AF222" s="7" t="n">
        <v>46077</v>
      </c>
      <c r="AG222" s="3" t="inlineStr">
        <is>
          <t>OC-0000125791-2026</t>
        </is>
      </c>
      <c r="AH222" s="7" t="n">
        <v>46118</v>
      </c>
      <c r="AI222" s="3" t="inlineStr">
        <is>
          <t>AM000992</t>
        </is>
      </c>
      <c r="AJ222" s="3" t="inlineStr">
        <is>
          <t>UTP_Proyecto de estandarización de extintores laboratorios especializados_Lima Norte</t>
        </is>
      </c>
    </row>
    <row r="223">
      <c r="A223" s="3" t="n">
        <v>216</v>
      </c>
      <c r="B223" s="3" t="inlineStr">
        <is>
          <t>SSGG_116</t>
        </is>
      </c>
      <c r="C223" s="3" t="inlineStr">
        <is>
          <t>SSGG</t>
        </is>
      </c>
      <c r="D223" s="3" t="inlineStr">
        <is>
          <t>Eloy / Alfredo / Alberto / Raul</t>
        </is>
      </c>
      <c r="H223" s="3" t="inlineStr">
        <is>
          <t>Proyecto de estandarización de extintores laboratorios especializados</t>
        </is>
      </c>
      <c r="Q223" s="3" t="inlineStr">
        <is>
          <t>SI</t>
        </is>
      </c>
      <c r="R223" s="3" t="inlineStr">
        <is>
          <t>UTP Lima Sur</t>
        </is>
      </c>
      <c r="S223" s="3" t="n">
        <v>10220106</v>
      </c>
      <c r="T223" s="3" t="inlineStr">
        <is>
          <t>UTP EL TRIUNFO S/N-VILLA SALVA - LIMA</t>
        </is>
      </c>
      <c r="U223" s="3" t="n">
        <v>0</v>
      </c>
      <c r="V223" s="3" t="n">
        <v>0</v>
      </c>
      <c r="W223" s="3" t="inlineStr">
        <is>
          <t>A</t>
        </is>
      </c>
      <c r="X223" s="4" t="n">
        <v>46082</v>
      </c>
      <c r="Y223" s="4" t="n">
        <v>46203</v>
      </c>
      <c r="Z223" s="4" t="n">
        <v>46082</v>
      </c>
      <c r="AA223" s="4" t="n">
        <v>46163</v>
      </c>
      <c r="AB223" s="3" t="inlineStr">
        <is>
          <t>EJECUTADO</t>
        </is>
      </c>
      <c r="AC223" s="3" t="inlineStr">
        <is>
          <t>EJECUTADO</t>
        </is>
      </c>
      <c r="AD223" s="3" t="inlineStr">
        <is>
          <t>Proyectos Ops / Labs / Seguridad</t>
        </is>
      </c>
      <c r="AE223" s="3" t="inlineStr">
        <is>
          <t>-</t>
        </is>
      </c>
      <c r="AG223" s="3" t="inlineStr">
        <is>
          <t>-</t>
        </is>
      </c>
      <c r="AI223" s="3" t="inlineStr">
        <is>
          <t>AM000993</t>
        </is>
      </c>
      <c r="AJ223" s="3" t="inlineStr">
        <is>
          <t>UTP_Proyecto de estandarización de extintores laboratorios especializados_Lima Sur</t>
        </is>
      </c>
      <c r="AM223" s="3" t="inlineStr">
        <is>
          <t>Cubierto con recursos internos</t>
        </is>
      </c>
    </row>
    <row r="224">
      <c r="A224" s="3" t="n">
        <v>217</v>
      </c>
      <c r="B224" s="3" t="inlineStr">
        <is>
          <t>SSGG_117</t>
        </is>
      </c>
      <c r="C224" s="3" t="inlineStr">
        <is>
          <t>SSGG</t>
        </is>
      </c>
      <c r="D224" s="3" t="inlineStr">
        <is>
          <t>Eloy / Alfredo / Alberto / Raul</t>
        </is>
      </c>
      <c r="H224" s="3" t="inlineStr">
        <is>
          <t>Proyecto de estandarización de extintores laboratorios especializados</t>
        </is>
      </c>
      <c r="Q224" s="3" t="inlineStr">
        <is>
          <t>SI</t>
        </is>
      </c>
      <c r="R224" s="3" t="inlineStr">
        <is>
          <t>UTP Lima Este</t>
        </is>
      </c>
      <c r="S224" s="3" t="n">
        <v>10220108</v>
      </c>
      <c r="T224" s="3" t="inlineStr">
        <is>
          <t>UTP N,AYLLON KM11,60 LOTE 96ATE -LIMA</t>
        </is>
      </c>
      <c r="U224" s="3" t="n">
        <v>0</v>
      </c>
      <c r="V224" s="3" t="n">
        <v>0</v>
      </c>
      <c r="W224" s="3" t="inlineStr">
        <is>
          <t>A</t>
        </is>
      </c>
      <c r="X224" s="4" t="n">
        <v>46082</v>
      </c>
      <c r="Y224" s="4" t="n">
        <v>46203</v>
      </c>
      <c r="Z224" s="4" t="n">
        <v>46082</v>
      </c>
      <c r="AA224" s="4" t="n">
        <v>46163</v>
      </c>
      <c r="AB224" s="3" t="inlineStr">
        <is>
          <t>EJECUTADO</t>
        </is>
      </c>
      <c r="AC224" s="3" t="inlineStr">
        <is>
          <t>EJECUTADO</t>
        </is>
      </c>
      <c r="AD224" s="3" t="inlineStr">
        <is>
          <t>Proyectos Ops / Labs / Seguridad</t>
        </is>
      </c>
      <c r="AE224" s="3" t="inlineStr">
        <is>
          <t>-</t>
        </is>
      </c>
      <c r="AG224" s="3" t="inlineStr">
        <is>
          <t>-</t>
        </is>
      </c>
      <c r="AI224" s="3" t="inlineStr">
        <is>
          <t>AM000997</t>
        </is>
      </c>
      <c r="AJ224" s="3" t="inlineStr">
        <is>
          <t>UTP_Proyecto de estandarización de extintores laboratorios especializados_Lima Este</t>
        </is>
      </c>
      <c r="AM224" s="3" t="inlineStr">
        <is>
          <t>Cubierto con recursos internos</t>
        </is>
      </c>
    </row>
    <row r="225">
      <c r="A225" s="3" t="n">
        <v>218</v>
      </c>
      <c r="B225" s="3" t="inlineStr">
        <is>
          <t>SSGG_118</t>
        </is>
      </c>
      <c r="C225" s="3" t="inlineStr">
        <is>
          <t>SSGG</t>
        </is>
      </c>
      <c r="D225" s="3" t="inlineStr">
        <is>
          <t>Eloy / Alfredo / Alberto / Raul</t>
        </is>
      </c>
      <c r="H225" s="3" t="inlineStr">
        <is>
          <t>Proyecto de estandarización de extintores laboratorios especializados</t>
        </is>
      </c>
      <c r="Q225" s="3" t="inlineStr">
        <is>
          <t>SI</t>
        </is>
      </c>
      <c r="R225" s="3" t="inlineStr">
        <is>
          <t>UTP SJL</t>
        </is>
      </c>
      <c r="S225" s="3" t="n">
        <v>10220110</v>
      </c>
      <c r="T225" s="3" t="inlineStr">
        <is>
          <t>UTP AV,SOL SUB LT 13B MZG SJL - LIMA</t>
        </is>
      </c>
      <c r="U225" s="3" t="n">
        <v>932.2</v>
      </c>
      <c r="V225" s="3" t="n">
        <v>932.2</v>
      </c>
      <c r="W225" s="3" t="inlineStr">
        <is>
          <t>A</t>
        </is>
      </c>
      <c r="X225" s="4" t="n">
        <v>46082</v>
      </c>
      <c r="Y225" s="4" t="n">
        <v>46203</v>
      </c>
      <c r="Z225" s="4" t="n">
        <v>46082</v>
      </c>
      <c r="AA225" s="4" t="n">
        <v>46163</v>
      </c>
      <c r="AB225" s="3" t="inlineStr">
        <is>
          <t>EJECUTADO</t>
        </is>
      </c>
      <c r="AC225" s="3" t="inlineStr">
        <is>
          <t>EJECUTADO</t>
        </is>
      </c>
      <c r="AD225" s="3" t="inlineStr">
        <is>
          <t>Proyectos Ops / Labs / Seguridad</t>
        </is>
      </c>
      <c r="AE225" s="3" t="inlineStr">
        <is>
          <t>SC-0000118304-2026</t>
        </is>
      </c>
      <c r="AF225" s="7" t="n">
        <v>46077</v>
      </c>
      <c r="AG225" s="3" t="inlineStr">
        <is>
          <t xml:space="preserve">OC-0000123176-2026 </t>
        </is>
      </c>
      <c r="AH225" s="7" t="n">
        <v>46090</v>
      </c>
      <c r="AI225" s="3" t="inlineStr">
        <is>
          <t>AM000998</t>
        </is>
      </c>
      <c r="AJ225" s="3" t="inlineStr">
        <is>
          <t>UTP_Proyecto de estandarización de extintores laboratorios especializados_SJL</t>
        </is>
      </c>
    </row>
    <row r="226">
      <c r="A226" s="3" t="n">
        <v>219</v>
      </c>
      <c r="B226" s="3" t="inlineStr">
        <is>
          <t>SSGG_119</t>
        </is>
      </c>
      <c r="C226" s="3" t="inlineStr">
        <is>
          <t>SSGG</t>
        </is>
      </c>
      <c r="D226" s="3" t="inlineStr">
        <is>
          <t>Eloy / Alfredo / Alberto / Raul</t>
        </is>
      </c>
      <c r="H226" s="3" t="inlineStr">
        <is>
          <t>Proyecto de estandarización de extintores laboratorios especializados</t>
        </is>
      </c>
      <c r="Q226" s="3" t="inlineStr">
        <is>
          <t>SI</t>
        </is>
      </c>
      <c r="R226" s="3" t="inlineStr">
        <is>
          <t>UTP Ica</t>
        </is>
      </c>
      <c r="S226" s="3" t="n">
        <v>70160101</v>
      </c>
      <c r="T226" s="3" t="inlineStr">
        <is>
          <t>UTP SUB EUB-5 SAN JOSE - ICA</t>
        </is>
      </c>
      <c r="U226" s="3" t="n">
        <v>6081.13</v>
      </c>
      <c r="V226" s="3" t="n">
        <v>6081.13</v>
      </c>
      <c r="W226" s="3" t="inlineStr">
        <is>
          <t>A</t>
        </is>
      </c>
      <c r="X226" s="4" t="n">
        <v>46082</v>
      </c>
      <c r="Y226" s="4" t="n">
        <v>46203</v>
      </c>
      <c r="Z226" s="4" t="n">
        <v>46082</v>
      </c>
      <c r="AA226" s="4" t="n">
        <v>46163</v>
      </c>
      <c r="AB226" s="3" t="inlineStr">
        <is>
          <t>EJECUTADO</t>
        </is>
      </c>
      <c r="AC226" s="3" t="inlineStr">
        <is>
          <t>PENDIENTE</t>
        </is>
      </c>
      <c r="AD226" s="3" t="inlineStr">
        <is>
          <t>Proyectos Ops / Labs / Seguridad</t>
        </is>
      </c>
      <c r="AE226" s="3" t="inlineStr">
        <is>
          <t>SC-0000118306-2026 / SC-0000127190-2026</t>
        </is>
      </c>
      <c r="AF226" s="7" t="n">
        <v>46077</v>
      </c>
      <c r="AG226" s="3" t="inlineStr">
        <is>
          <t>OC-0000123286-2026 / OC-0000131210-2026</t>
        </is>
      </c>
      <c r="AH226" s="3" t="inlineStr">
        <is>
          <t>10/03 / 21/05</t>
        </is>
      </c>
      <c r="AI226" s="3" t="inlineStr">
        <is>
          <t>AM001003</t>
        </is>
      </c>
      <c r="AJ226" s="3" t="inlineStr">
        <is>
          <t>UTP_Proyecto de estandarización de extintores laboratorios especializados_Ica</t>
        </is>
      </c>
      <c r="AM226" s="3" t="inlineStr">
        <is>
          <t>OC-0000131210-2026 EN PROCESO DE ENTREGA</t>
        </is>
      </c>
    </row>
    <row r="227">
      <c r="A227" s="3" t="n">
        <v>220</v>
      </c>
      <c r="B227" s="3" t="inlineStr">
        <is>
          <t>SSGG_120</t>
        </is>
      </c>
      <c r="C227" s="3" t="inlineStr">
        <is>
          <t>SSGG</t>
        </is>
      </c>
      <c r="D227" s="3" t="inlineStr">
        <is>
          <t>Eloy / Alfredo / Alberto / Raul</t>
        </is>
      </c>
      <c r="H227" s="3" t="inlineStr">
        <is>
          <t>Proyecto de estandarización de extintores laboratorios especializados</t>
        </is>
      </c>
      <c r="Q227" s="3" t="inlineStr">
        <is>
          <t>SI</t>
        </is>
      </c>
      <c r="R227" s="3" t="inlineStr">
        <is>
          <t>UTP Huancayo</t>
        </is>
      </c>
      <c r="S227" s="3" t="n">
        <v>70190101</v>
      </c>
      <c r="T227" s="3" t="inlineStr">
        <is>
          <t>UTP AV,CIRCUNVALACIÓN 449 - HUANCAYO</t>
        </is>
      </c>
      <c r="U227" s="3" t="n">
        <v>1122.77</v>
      </c>
      <c r="V227" s="3" t="n">
        <v>1122.77</v>
      </c>
      <c r="W227" s="3" t="inlineStr">
        <is>
          <t>A</t>
        </is>
      </c>
      <c r="X227" s="4" t="n">
        <v>46082</v>
      </c>
      <c r="Y227" s="4" t="n">
        <v>46203</v>
      </c>
      <c r="Z227" s="4" t="n">
        <v>46082</v>
      </c>
      <c r="AA227" s="4" t="n">
        <v>46163</v>
      </c>
      <c r="AB227" s="3" t="inlineStr">
        <is>
          <t>EJECUTADO</t>
        </is>
      </c>
      <c r="AC227" s="3" t="inlineStr">
        <is>
          <t>EJECUTADO</t>
        </is>
      </c>
      <c r="AD227" s="3" t="inlineStr">
        <is>
          <t>Proyectos Ops / Labs / Seguridad</t>
        </is>
      </c>
      <c r="AE227" s="3" t="inlineStr">
        <is>
          <t>SC-0000118308-2026</t>
        </is>
      </c>
      <c r="AF227" s="7" t="n">
        <v>46077</v>
      </c>
      <c r="AG227" s="3" t="inlineStr">
        <is>
          <t>OC-0000123277-2026</t>
        </is>
      </c>
      <c r="AH227" s="7" t="n">
        <v>46091</v>
      </c>
      <c r="AI227" s="3" t="inlineStr">
        <is>
          <t>AM001004</t>
        </is>
      </c>
      <c r="AJ227" s="3" t="inlineStr">
        <is>
          <t>UTP_Proyecto de estandarización de extintores laboratorios especializados_Huancayo</t>
        </is>
      </c>
    </row>
    <row r="228">
      <c r="A228" s="3" t="n">
        <v>221</v>
      </c>
      <c r="B228" s="3" t="inlineStr">
        <is>
          <t>SSGG_121</t>
        </is>
      </c>
      <c r="C228" s="3" t="inlineStr">
        <is>
          <t>SSGG</t>
        </is>
      </c>
      <c r="D228" s="3" t="inlineStr">
        <is>
          <t>Eloy / Alfredo / Alberto / Raul</t>
        </is>
      </c>
      <c r="H228" s="3" t="inlineStr">
        <is>
          <t>Proyecto de estandarización de extintores laboratorios especializados</t>
        </is>
      </c>
      <c r="Q228" s="3" t="inlineStr">
        <is>
          <t>SI</t>
        </is>
      </c>
      <c r="R228" s="3" t="inlineStr">
        <is>
          <t>UTP Chiclayo</t>
        </is>
      </c>
      <c r="S228" s="3" t="n">
        <v>70120201</v>
      </c>
      <c r="T228" s="3" t="inlineStr">
        <is>
          <t>UTP AV, PROGRESO CON AV, EVITAMIENTO S/N  - CHICLAYO</t>
        </is>
      </c>
      <c r="U228" s="3" t="n">
        <v>20826.8</v>
      </c>
      <c r="V228" s="3" t="n">
        <v>20826.8</v>
      </c>
      <c r="W228" s="3" t="inlineStr">
        <is>
          <t>A</t>
        </is>
      </c>
      <c r="X228" s="4" t="n">
        <v>46082</v>
      </c>
      <c r="Y228" s="4" t="n">
        <v>46203</v>
      </c>
      <c r="Z228" s="4" t="n">
        <v>46082</v>
      </c>
      <c r="AA228" s="4" t="n">
        <v>46163</v>
      </c>
      <c r="AB228" s="3" t="inlineStr">
        <is>
          <t>EJECUTADO</t>
        </is>
      </c>
      <c r="AC228" s="3" t="inlineStr">
        <is>
          <t>EJECUTADO</t>
        </is>
      </c>
      <c r="AD228" s="3" t="inlineStr">
        <is>
          <t>Proyectos Ops / Labs / Seguridad</t>
        </is>
      </c>
      <c r="AE228" s="3" t="inlineStr">
        <is>
          <t>SC-0000118309-2026 / SC-0000127188-2026</t>
        </is>
      </c>
      <c r="AF228" s="7" t="n">
        <v>46077</v>
      </c>
      <c r="AG228" s="3" t="inlineStr">
        <is>
          <t>OC-0000123278-2026 / OC-0000131204-2026</t>
        </is>
      </c>
      <c r="AH228" s="3" t="inlineStr">
        <is>
          <t>10/03 / 21/05</t>
        </is>
      </c>
      <c r="AI228" s="3" t="inlineStr">
        <is>
          <t>AM001005</t>
        </is>
      </c>
      <c r="AJ228" s="3" t="inlineStr">
        <is>
          <t>UTP_Proyecto de estandarización de extintores laboratorios especializados_Chiclayo</t>
        </is>
      </c>
    </row>
    <row r="229">
      <c r="A229" s="3" t="n">
        <v>222</v>
      </c>
      <c r="B229" s="3" t="inlineStr">
        <is>
          <t>SSGG_122</t>
        </is>
      </c>
      <c r="C229" s="3" t="inlineStr">
        <is>
          <t>SSGG</t>
        </is>
      </c>
      <c r="D229" s="3" t="inlineStr">
        <is>
          <t>Eloy / Alfredo / Alberto / Raul</t>
        </is>
      </c>
      <c r="H229" s="3" t="inlineStr">
        <is>
          <t>Proyecto de estandarización de extintores laboratorios especializados</t>
        </is>
      </c>
      <c r="Q229" s="3" t="inlineStr">
        <is>
          <t>SI</t>
        </is>
      </c>
      <c r="R229" s="3" t="inlineStr">
        <is>
          <t>UTP Piura</t>
        </is>
      </c>
      <c r="S229" s="3" t="n">
        <v>70170101</v>
      </c>
      <c r="T229" s="3" t="inlineStr">
        <is>
          <t>UTP AV,PANAMERICANA 234 -PIURA</t>
        </is>
      </c>
      <c r="U229" s="3" t="n">
        <v>13060.63</v>
      </c>
      <c r="V229" s="3" t="n">
        <v>13060.63</v>
      </c>
      <c r="W229" s="3" t="inlineStr">
        <is>
          <t>A</t>
        </is>
      </c>
      <c r="X229" s="4" t="n">
        <v>46082</v>
      </c>
      <c r="Y229" s="4" t="n">
        <v>46203</v>
      </c>
      <c r="Z229" s="4" t="n">
        <v>46082</v>
      </c>
      <c r="AA229" s="4" t="n">
        <v>46163</v>
      </c>
      <c r="AB229" s="3" t="inlineStr">
        <is>
          <t>EJECUTADO</t>
        </is>
      </c>
      <c r="AC229" s="3" t="inlineStr">
        <is>
          <t>EJECUTADO</t>
        </is>
      </c>
      <c r="AD229" s="3" t="inlineStr">
        <is>
          <t>Proyectos Ops / Labs / Seguridad</t>
        </is>
      </c>
      <c r="AE229" s="3" t="inlineStr">
        <is>
          <t>SC-0000118310-2026 / SC-0000127193-2026</t>
        </is>
      </c>
      <c r="AF229" s="7" t="n">
        <v>46077</v>
      </c>
      <c r="AG229" s="3" t="inlineStr">
        <is>
          <t>OC-0000123285-2026 / OC-0000131213-2026</t>
        </is>
      </c>
      <c r="AH229" s="3" t="inlineStr">
        <is>
          <t>10/03 / 21/05</t>
        </is>
      </c>
      <c r="AI229" s="3" t="inlineStr">
        <is>
          <t>AM001006</t>
        </is>
      </c>
      <c r="AJ229" s="3" t="inlineStr">
        <is>
          <t>UTP_Proyecto de estandarización de extintores laboratorios especializados_Piura</t>
        </is>
      </c>
    </row>
    <row r="230">
      <c r="A230" s="3" t="n">
        <v>223</v>
      </c>
      <c r="B230" s="3" t="inlineStr">
        <is>
          <t>SSGG_123</t>
        </is>
      </c>
      <c r="C230" s="3" t="inlineStr">
        <is>
          <t>SSGG</t>
        </is>
      </c>
      <c r="D230" s="3" t="inlineStr">
        <is>
          <t>Eloy / Alfredo / Alberto / Raul</t>
        </is>
      </c>
      <c r="H230" s="3" t="inlineStr">
        <is>
          <t>Proyecto de estandarización de extintores laboratorios especializados</t>
        </is>
      </c>
      <c r="Q230" s="3" t="inlineStr">
        <is>
          <t>SI</t>
        </is>
      </c>
      <c r="R230" s="3" t="inlineStr">
        <is>
          <t>UTP Trujillo</t>
        </is>
      </c>
      <c r="S230" s="3" t="n">
        <v>70180103</v>
      </c>
      <c r="T230" s="3" t="inlineStr">
        <is>
          <t>UTP NICOLAS PIEROLA - TRUJILLO</t>
        </is>
      </c>
      <c r="U230" s="3" t="n">
        <v>11051.68</v>
      </c>
      <c r="V230" s="3" t="n">
        <v>11051.68</v>
      </c>
      <c r="W230" s="3" t="inlineStr">
        <is>
          <t>A</t>
        </is>
      </c>
      <c r="X230" s="4" t="n">
        <v>46082</v>
      </c>
      <c r="Y230" s="4" t="n">
        <v>46203</v>
      </c>
      <c r="Z230" s="4" t="n">
        <v>46082</v>
      </c>
      <c r="AA230" s="4" t="n">
        <v>46163</v>
      </c>
      <c r="AB230" s="3" t="inlineStr">
        <is>
          <t>EJECUTADO</t>
        </is>
      </c>
      <c r="AC230" s="3" t="inlineStr">
        <is>
          <t>EJECUTADO</t>
        </is>
      </c>
      <c r="AD230" s="3" t="inlineStr">
        <is>
          <t>Proyectos Ops / Labs / Seguridad</t>
        </is>
      </c>
      <c r="AE230" s="3" t="inlineStr">
        <is>
          <t>SC-0000118313-2026 / SC-0000127194-2026</t>
        </is>
      </c>
      <c r="AF230" s="7" t="n">
        <v>46077</v>
      </c>
      <c r="AG230" s="3" t="inlineStr">
        <is>
          <t>OC-0000123280-2026 / OC-0000131216-2026</t>
        </is>
      </c>
      <c r="AH230" s="3" t="inlineStr">
        <is>
          <t>10/03 / 21/05</t>
        </is>
      </c>
      <c r="AI230" s="3" t="inlineStr">
        <is>
          <t>AM001007</t>
        </is>
      </c>
      <c r="AJ230" s="3" t="inlineStr">
        <is>
          <t>UTP_Proyecto de estandarización de extintores laboratorios especializados_Trujillo</t>
        </is>
      </c>
    </row>
    <row r="231">
      <c r="A231" s="3" t="n">
        <v>224</v>
      </c>
      <c r="B231" s="3" t="inlineStr">
        <is>
          <t>SSGG_124</t>
        </is>
      </c>
      <c r="C231" s="3" t="inlineStr">
        <is>
          <t>SSGG</t>
        </is>
      </c>
      <c r="D231" s="3" t="inlineStr">
        <is>
          <t>Eloy / Alfredo / Alberto / Raul</t>
        </is>
      </c>
      <c r="H231" s="3" t="inlineStr">
        <is>
          <t>Proyecto de estandarización de extintores laboratorios especializados</t>
        </is>
      </c>
      <c r="Q231" s="3" t="inlineStr">
        <is>
          <t>SI</t>
        </is>
      </c>
      <c r="R231" s="3" t="inlineStr">
        <is>
          <t>UTP Chimbote</t>
        </is>
      </c>
      <c r="S231" s="3" t="n">
        <v>70150101</v>
      </c>
      <c r="T231" s="3" t="inlineStr">
        <is>
          <t>UTP PASERO DEL MAR MZ C9- LT2 - CHIMBOTE</t>
        </is>
      </c>
      <c r="U231" s="3" t="n">
        <v>14094.51</v>
      </c>
      <c r="V231" s="3" t="n">
        <v>14094.51</v>
      </c>
      <c r="W231" s="3" t="inlineStr">
        <is>
          <t>A</t>
        </is>
      </c>
      <c r="X231" s="4" t="n">
        <v>46082</v>
      </c>
      <c r="Y231" s="4" t="n">
        <v>46203</v>
      </c>
      <c r="Z231" s="4" t="n">
        <v>46082</v>
      </c>
      <c r="AA231" s="4" t="n">
        <v>46163</v>
      </c>
      <c r="AB231" s="3" t="inlineStr">
        <is>
          <t>EJECUTADO</t>
        </is>
      </c>
      <c r="AC231" s="3" t="inlineStr">
        <is>
          <t>EJECUTADO</t>
        </is>
      </c>
      <c r="AD231" s="3" t="inlineStr">
        <is>
          <t>Proyectos Ops / Labs / Seguridad</t>
        </is>
      </c>
      <c r="AE231" s="3" t="inlineStr">
        <is>
          <t>SC-0000118314-2026 / SC-0000127189-2026</t>
        </is>
      </c>
      <c r="AF231" s="7" t="n">
        <v>46077</v>
      </c>
      <c r="AG231" s="3" t="inlineStr">
        <is>
          <t>OC-0000123283-2026 / OC-0000131209-2026</t>
        </is>
      </c>
      <c r="AH231" s="3" t="inlineStr">
        <is>
          <t>10/03 / 21/05</t>
        </is>
      </c>
      <c r="AI231" s="3" t="inlineStr">
        <is>
          <t>AM001008</t>
        </is>
      </c>
      <c r="AJ231" s="3" t="inlineStr">
        <is>
          <t>UTP_Proyecto de estandarización de extintores laboratorios especializados_Chimbote</t>
        </is>
      </c>
    </row>
    <row r="232">
      <c r="A232" s="3" t="n">
        <v>225</v>
      </c>
      <c r="B232" s="3" t="inlineStr">
        <is>
          <t>SSGG_125</t>
        </is>
      </c>
      <c r="C232" s="3" t="inlineStr">
        <is>
          <t>SSGG</t>
        </is>
      </c>
      <c r="D232" s="3" t="inlineStr">
        <is>
          <t>Eloy / Alfredo / Alberto / Raul</t>
        </is>
      </c>
      <c r="H232" s="3" t="inlineStr">
        <is>
          <t>Proyecto de estandarización de extintores laboratorios especializados Arequipa Parra 1</t>
        </is>
      </c>
      <c r="Q232" s="3" t="inlineStr">
        <is>
          <t>SI</t>
        </is>
      </c>
      <c r="R232" s="3" t="inlineStr">
        <is>
          <t>UTP Arequipa</t>
        </is>
      </c>
      <c r="S232" s="3" t="n">
        <v>70110103</v>
      </c>
      <c r="T232" s="3" t="inlineStr">
        <is>
          <t>UTP PARRA 201-203 -  AREQUIPA</t>
        </is>
      </c>
      <c r="U232" s="3" t="n">
        <v>3029.41</v>
      </c>
      <c r="V232" s="3" t="n">
        <v>3029.41</v>
      </c>
      <c r="W232" s="3" t="inlineStr">
        <is>
          <t>A</t>
        </is>
      </c>
      <c r="X232" s="4" t="n">
        <v>46082</v>
      </c>
      <c r="Y232" s="4" t="n">
        <v>46203</v>
      </c>
      <c r="Z232" s="4" t="n">
        <v>46082</v>
      </c>
      <c r="AA232" s="4" t="n">
        <v>46163</v>
      </c>
      <c r="AB232" s="3" t="inlineStr">
        <is>
          <t>EJECUTADO</t>
        </is>
      </c>
      <c r="AC232" s="3" t="inlineStr">
        <is>
          <t>EJECUTADO</t>
        </is>
      </c>
      <c r="AD232" s="3" t="inlineStr">
        <is>
          <t>Proyectos Ops / Labs / Seguridad</t>
        </is>
      </c>
      <c r="AE232" s="3" t="inlineStr">
        <is>
          <t>SC-0000118320-2026</t>
        </is>
      </c>
      <c r="AF232" s="7" t="n">
        <v>46077</v>
      </c>
      <c r="AG232" s="3" t="inlineStr">
        <is>
          <t>OC-0000123262-2026</t>
        </is>
      </c>
      <c r="AH232" s="7" t="n">
        <v>46091</v>
      </c>
      <c r="AI232" s="3" t="inlineStr">
        <is>
          <t>AM001001</t>
        </is>
      </c>
      <c r="AJ232" s="3" t="inlineStr">
        <is>
          <t>UTP_Proyecto de estandarización de extintores laboratorios especializados_Arequipa Parra 1</t>
        </is>
      </c>
    </row>
    <row r="233">
      <c r="A233" s="3" t="n">
        <v>226</v>
      </c>
      <c r="B233" s="3" t="inlineStr">
        <is>
          <t>SSGG_126</t>
        </is>
      </c>
      <c r="C233" s="3" t="inlineStr">
        <is>
          <t>SSGG</t>
        </is>
      </c>
      <c r="D233" s="3" t="inlineStr">
        <is>
          <t>Eloy / Alfredo / Alberto / Raul</t>
        </is>
      </c>
      <c r="H233" s="3" t="inlineStr">
        <is>
          <t>Proyecto de estandarización de extintores laboratorios especializados Arequipa Parra 2</t>
        </is>
      </c>
      <c r="Q233" s="3" t="inlineStr">
        <is>
          <t>SI</t>
        </is>
      </c>
      <c r="R233" s="3" t="inlineStr">
        <is>
          <t>UTP Arequipa</t>
        </is>
      </c>
      <c r="S233" s="3" t="n">
        <v>70110107</v>
      </c>
      <c r="T233" s="3" t="inlineStr">
        <is>
          <t>UTP PARRA WASHINGT 217-219 AREQUIPA</t>
        </is>
      </c>
      <c r="U233" s="3" t="n">
        <v>7245.2</v>
      </c>
      <c r="V233" s="3" t="n">
        <v>7245.2</v>
      </c>
      <c r="W233" s="3" t="inlineStr">
        <is>
          <t>A</t>
        </is>
      </c>
      <c r="X233" s="4" t="n">
        <v>46082</v>
      </c>
      <c r="Y233" s="4" t="n">
        <v>46203</v>
      </c>
      <c r="Z233" s="4" t="n">
        <v>46082</v>
      </c>
      <c r="AA233" s="4" t="n">
        <v>46163</v>
      </c>
      <c r="AB233" s="3" t="inlineStr">
        <is>
          <t>EJECUTADO</t>
        </is>
      </c>
      <c r="AC233" s="3" t="inlineStr">
        <is>
          <t>EJECUTADO</t>
        </is>
      </c>
      <c r="AD233" s="3" t="inlineStr">
        <is>
          <t>Proyectos Ops / Labs / Seguridad</t>
        </is>
      </c>
      <c r="AE233" s="3" t="inlineStr">
        <is>
          <t>SC-0000118322-2026</t>
        </is>
      </c>
      <c r="AF233" s="7" t="n">
        <v>46077</v>
      </c>
      <c r="AG233" s="3" t="inlineStr">
        <is>
          <t>OC-0000123275-2026</t>
        </is>
      </c>
      <c r="AH233" s="7" t="n">
        <v>46091</v>
      </c>
      <c r="AI233" s="3" t="inlineStr">
        <is>
          <t>AM001002</t>
        </is>
      </c>
      <c r="AJ233" s="3" t="inlineStr">
        <is>
          <t>UTP_Proyecto de estandarización de extintores laboratorios especializados_Arequipa Parra 2</t>
        </is>
      </c>
    </row>
    <row r="234">
      <c r="A234" s="3" t="n">
        <v>227</v>
      </c>
      <c r="B234" s="3" t="inlineStr">
        <is>
          <t>SSGG_127</t>
        </is>
      </c>
      <c r="C234" s="3" t="inlineStr">
        <is>
          <t>SSGG</t>
        </is>
      </c>
      <c r="D234" s="3" t="inlineStr">
        <is>
          <t>Eloy / Alfredo / Alberto / Raul</t>
        </is>
      </c>
      <c r="H234" s="3" t="inlineStr">
        <is>
          <t>Proyecto de estandarización de extintores laboratorios especializados Arequipa TyA</t>
        </is>
      </c>
      <c r="Q234" s="3" t="inlineStr">
        <is>
          <t>SI</t>
        </is>
      </c>
      <c r="R234" s="3" t="inlineStr">
        <is>
          <t>UTP Arequipa</t>
        </is>
      </c>
      <c r="S234" s="3" t="n">
        <v>70110101</v>
      </c>
      <c r="T234" s="3" t="inlineStr">
        <is>
          <t>UTP TACNA-ARICA 158-160-162 - AREQUIPA</t>
        </is>
      </c>
      <c r="U234" s="3" t="n">
        <v>0</v>
      </c>
      <c r="V234" s="3" t="n">
        <v>0</v>
      </c>
      <c r="W234" s="3" t="inlineStr">
        <is>
          <t>A</t>
        </is>
      </c>
      <c r="X234" s="4" t="n">
        <v>46082</v>
      </c>
      <c r="Y234" s="4" t="n">
        <v>46203</v>
      </c>
      <c r="Z234" s="4" t="n">
        <v>46082</v>
      </c>
      <c r="AA234" s="4" t="n">
        <v>46163</v>
      </c>
      <c r="AB234" s="3" t="inlineStr">
        <is>
          <t>EJECUTADO</t>
        </is>
      </c>
      <c r="AC234" s="3" t="inlineStr">
        <is>
          <t>EJECUTADO</t>
        </is>
      </c>
      <c r="AD234" s="3" t="inlineStr">
        <is>
          <t>Proyectos Ops / Labs / Seguridad</t>
        </is>
      </c>
      <c r="AE234" s="3" t="inlineStr">
        <is>
          <t>-</t>
        </is>
      </c>
      <c r="AG234" s="3" t="inlineStr">
        <is>
          <t>-</t>
        </is>
      </c>
      <c r="AI234" s="3" t="inlineStr">
        <is>
          <t>AM000999</t>
        </is>
      </c>
      <c r="AJ234" s="3" t="inlineStr">
        <is>
          <t>UTP_Proyecto de estandarización de extintores laboratorios especializados_Arequipa Tacna y Arica</t>
        </is>
      </c>
      <c r="AM234" s="3" t="inlineStr">
        <is>
          <t>Cubierto con recursos internos</t>
        </is>
      </c>
    </row>
    <row r="235">
      <c r="A235" s="3" t="n">
        <v>228</v>
      </c>
      <c r="B235" s="3" t="inlineStr">
        <is>
          <t>SSGG_128</t>
        </is>
      </c>
      <c r="C235" s="3" t="inlineStr">
        <is>
          <t>SSGG</t>
        </is>
      </c>
      <c r="D235" s="3" t="inlineStr">
        <is>
          <t>Eloy / Alfredo / Alberto / Raul</t>
        </is>
      </c>
      <c r="H235" s="3" t="inlineStr">
        <is>
          <t>Proyecto de estandarización de extintores laboratorios especializados LC TTA</t>
        </is>
      </c>
      <c r="Q235" s="3" t="inlineStr">
        <is>
          <t>SI</t>
        </is>
      </c>
      <c r="R235" s="3" t="inlineStr">
        <is>
          <t>UTP Lima Centro</t>
        </is>
      </c>
      <c r="S235" s="3" t="n">
        <v>10110205</v>
      </c>
      <c r="T235" s="3" t="inlineStr">
        <is>
          <t>UTP AV, AREQUIPA 265-279 - LIMA</t>
        </is>
      </c>
      <c r="U235" s="3" t="n">
        <v>0</v>
      </c>
      <c r="V235" s="3" t="n">
        <v>0</v>
      </c>
      <c r="W235" s="3" t="inlineStr">
        <is>
          <t>A</t>
        </is>
      </c>
      <c r="X235" s="4" t="n">
        <v>46082</v>
      </c>
      <c r="Y235" s="4" t="n">
        <v>46203</v>
      </c>
      <c r="Z235" s="4" t="n">
        <v>46082</v>
      </c>
      <c r="AA235" s="4" t="n">
        <v>46163</v>
      </c>
      <c r="AB235" s="3" t="inlineStr">
        <is>
          <t>EJECUTADO</t>
        </is>
      </c>
      <c r="AC235" s="3" t="inlineStr">
        <is>
          <t>EJECUTADO</t>
        </is>
      </c>
      <c r="AD235" s="3" t="inlineStr">
        <is>
          <t>Proyectos Ops / Labs / Seguridad</t>
        </is>
      </c>
      <c r="AE235" s="3" t="inlineStr">
        <is>
          <t>-</t>
        </is>
      </c>
      <c r="AG235" s="3" t="inlineStr">
        <is>
          <t>-</t>
        </is>
      </c>
      <c r="AI235" s="3" t="inlineStr">
        <is>
          <t>AM000995</t>
        </is>
      </c>
      <c r="AJ235" s="3" t="inlineStr">
        <is>
          <t>UTP_Proyecto de estandarización de extintores laboratorios especializados_LC Torre Arequipa</t>
        </is>
      </c>
      <c r="AM235" s="3" t="inlineStr">
        <is>
          <t>Cubierto con recursos internos</t>
        </is>
      </c>
    </row>
    <row r="236">
      <c r="A236" s="3" t="n">
        <v>229</v>
      </c>
      <c r="B236" s="3" t="inlineStr">
        <is>
          <t>SSGG_129</t>
        </is>
      </c>
      <c r="C236" s="3" t="inlineStr">
        <is>
          <t>SSGG</t>
        </is>
      </c>
      <c r="D236" s="3" t="inlineStr">
        <is>
          <t>Eloy / Alfredo / Alberto / Raul</t>
        </is>
      </c>
      <c r="H236" s="3" t="inlineStr">
        <is>
          <t>Proyecto de estandarización de extintores laboratorios especializados Sede Central</t>
        </is>
      </c>
      <c r="Q236" s="3" t="inlineStr">
        <is>
          <t>SI</t>
        </is>
      </c>
      <c r="R236" s="3" t="inlineStr">
        <is>
          <t>UTP Lima Centro</t>
        </is>
      </c>
      <c r="S236" s="3" t="n">
        <v>10110201</v>
      </c>
      <c r="T236" s="3" t="inlineStr">
        <is>
          <t>UTP PETITTHOURS 116 -  LIMA</t>
        </is>
      </c>
      <c r="U236" s="3" t="n">
        <v>25105.68</v>
      </c>
      <c r="V236" s="3" t="n">
        <v>25105.68</v>
      </c>
      <c r="W236" s="3" t="inlineStr">
        <is>
          <t>A</t>
        </is>
      </c>
      <c r="X236" s="4" t="n">
        <v>46082</v>
      </c>
      <c r="Y236" s="4" t="n">
        <v>46203</v>
      </c>
      <c r="Z236" s="4" t="n">
        <v>46082</v>
      </c>
      <c r="AA236" s="4" t="n">
        <v>46163</v>
      </c>
      <c r="AB236" s="3" t="inlineStr">
        <is>
          <t>EJECUTADO</t>
        </is>
      </c>
      <c r="AC236" s="3" t="inlineStr">
        <is>
          <t>EJECUTADO</t>
        </is>
      </c>
      <c r="AD236" s="3" t="inlineStr">
        <is>
          <t>Proyectos Ops / Labs / Seguridad</t>
        </is>
      </c>
      <c r="AE236" s="3" t="inlineStr">
        <is>
          <t>SC-0000118548-2026 / SC-0000127192-2026</t>
        </is>
      </c>
      <c r="AF236" s="7" t="n">
        <v>46079</v>
      </c>
      <c r="AG236" s="3" t="inlineStr">
        <is>
          <t>OC-0000123615-2026 / OC-0000131212-2026</t>
        </is>
      </c>
      <c r="AH236" s="3" t="inlineStr">
        <is>
          <t>12/03 / 21/05</t>
        </is>
      </c>
      <c r="AI236" s="3" t="inlineStr">
        <is>
          <t>AM000996</t>
        </is>
      </c>
      <c r="AJ236" s="3" t="inlineStr">
        <is>
          <t>UTP_Proyecto de estandarización de extintores laboratorios especializados_LC Sede Central</t>
        </is>
      </c>
    </row>
    <row r="237">
      <c r="A237" s="3" t="n">
        <v>230</v>
      </c>
      <c r="B237" s="3" t="inlineStr">
        <is>
          <t>SSGG_130</t>
        </is>
      </c>
      <c r="C237" s="3" t="inlineStr">
        <is>
          <t>SSGG</t>
        </is>
      </c>
      <c r="D237" s="3" t="inlineStr">
        <is>
          <t>Eloy / Alfredo / Alberto / Raul</t>
        </is>
      </c>
      <c r="H237" s="3" t="inlineStr">
        <is>
          <t>Proyecto de estandarización de extintores laboratorios especializados Torre II</t>
        </is>
      </c>
      <c r="Q237" s="3" t="inlineStr">
        <is>
          <t>SI</t>
        </is>
      </c>
      <c r="R237" s="3" t="inlineStr">
        <is>
          <t>UTP Lima Centro</t>
        </is>
      </c>
      <c r="S237" s="3" t="n">
        <v>10110204</v>
      </c>
      <c r="T237" s="3" t="inlineStr">
        <is>
          <t>UTP PETIT THOU383-385-TORRE II - LIMA</t>
        </is>
      </c>
      <c r="U237" s="3" t="n">
        <v>0</v>
      </c>
      <c r="V237" s="3" t="n">
        <v>0</v>
      </c>
      <c r="W237" s="3" t="inlineStr">
        <is>
          <t>A</t>
        </is>
      </c>
      <c r="X237" s="4" t="n">
        <v>46082</v>
      </c>
      <c r="Y237" s="4" t="n">
        <v>46203</v>
      </c>
      <c r="Z237" s="4" t="n">
        <v>46082</v>
      </c>
      <c r="AA237" s="4" t="n">
        <v>46163</v>
      </c>
      <c r="AB237" s="3" t="inlineStr">
        <is>
          <t>EJECUTADO</t>
        </is>
      </c>
      <c r="AC237" s="3" t="inlineStr">
        <is>
          <t>EJECUTADO</t>
        </is>
      </c>
      <c r="AD237" s="3" t="inlineStr">
        <is>
          <t>Proyectos Ops / Labs / Seguridad</t>
        </is>
      </c>
      <c r="AE237" s="3" t="inlineStr">
        <is>
          <t>-</t>
        </is>
      </c>
      <c r="AG237" s="3" t="inlineStr">
        <is>
          <t>-</t>
        </is>
      </c>
      <c r="AI237" s="3" t="inlineStr">
        <is>
          <t>AM000994</t>
        </is>
      </c>
      <c r="AJ237" s="3" t="inlineStr">
        <is>
          <t>UTP_Proyecto de estandarización de extintores laboratorios especializados_LC Torre II</t>
        </is>
      </c>
      <c r="AM237" s="3" t="inlineStr">
        <is>
          <t>Cubierto con recursos internos</t>
        </is>
      </c>
    </row>
    <row r="238">
      <c r="A238" s="3" t="n">
        <v>231</v>
      </c>
      <c r="B238" s="3" t="inlineStr">
        <is>
          <t>SSGG_131</t>
        </is>
      </c>
      <c r="C238" s="3" t="inlineStr">
        <is>
          <t>SSGG</t>
        </is>
      </c>
      <c r="D238" s="3" t="inlineStr">
        <is>
          <t>Eloy Pocohuanca</t>
        </is>
      </c>
      <c r="F238" s="3" t="inlineStr">
        <is>
          <t>epocohuanc@utp,edu,pe</t>
        </is>
      </c>
      <c r="G238" s="3" t="inlineStr">
        <is>
          <t>937 029 622</t>
        </is>
      </c>
      <c r="H238" s="3" t="inlineStr">
        <is>
          <t>Proyecto de implementación de áreas de esparcimiento II Etapa</t>
        </is>
      </c>
      <c r="Q238" s="3" t="inlineStr">
        <is>
          <t>SI</t>
        </is>
      </c>
      <c r="R238" s="3" t="inlineStr">
        <is>
          <t>UTP Lima Norte</t>
        </is>
      </c>
      <c r="S238" s="3" t="n">
        <v>10220111</v>
      </c>
      <c r="T238" s="3" t="inlineStr">
        <is>
          <t>UTP AV,INFANTAS MZ 2E LOTE 28, URB, STA LUISA - LOS OLIVOS</t>
        </is>
      </c>
      <c r="U238" s="3" t="n">
        <v>40000</v>
      </c>
      <c r="V238" s="3" t="n">
        <v>25690.39</v>
      </c>
      <c r="W238" s="3" t="inlineStr">
        <is>
          <t>B</t>
        </is>
      </c>
      <c r="X238" s="4" t="n">
        <v>46174</v>
      </c>
      <c r="Y238" s="4" t="n">
        <v>46265</v>
      </c>
      <c r="Z238" s="4" t="n">
        <v>46208</v>
      </c>
      <c r="AA238" s="6" t="n"/>
      <c r="AB238" s="3" t="inlineStr">
        <is>
          <t>EJECUTADO</t>
        </is>
      </c>
      <c r="AD238" s="3" t="inlineStr">
        <is>
          <t>Proyectos Ops</t>
        </is>
      </c>
      <c r="AE238" s="3" t="inlineStr">
        <is>
          <t>SC-0000133357-2026 / SC-0000133360-2026</t>
        </is>
      </c>
      <c r="AF238" s="7" t="n">
        <v>46190</v>
      </c>
      <c r="AG238" s="3" t="inlineStr">
        <is>
          <t>OC-0000136766-2026 / OC-0000137932-2026</t>
        </is>
      </c>
      <c r="AH238" s="3" t="inlineStr">
        <is>
          <t>23/06 / 01/07</t>
        </is>
      </c>
      <c r="AI238" s="3" t="inlineStr">
        <is>
          <t>AM000964</t>
        </is>
      </c>
      <c r="AJ238" s="3" t="inlineStr">
        <is>
          <t>UTP_Proyecto de implementación de áreas de esparcimiento II Etapa_Lima Norte</t>
        </is>
      </c>
      <c r="AM238" s="3" t="inlineStr">
        <is>
          <t>NR OC-0000136766-2026 enviada</t>
        </is>
      </c>
    </row>
    <row r="239">
      <c r="A239" s="3" t="n">
        <v>232</v>
      </c>
      <c r="B239" s="3" t="inlineStr">
        <is>
          <t>SSGG_132</t>
        </is>
      </c>
      <c r="C239" s="3" t="inlineStr">
        <is>
          <t>SSGG</t>
        </is>
      </c>
      <c r="D239" s="3" t="inlineStr">
        <is>
          <t>Eloy Pocohuanca</t>
        </is>
      </c>
      <c r="F239" s="3" t="inlineStr">
        <is>
          <t>epocohuanc@utp,edu,pe</t>
        </is>
      </c>
      <c r="G239" s="3" t="inlineStr">
        <is>
          <t>937 029 622</t>
        </is>
      </c>
      <c r="H239" s="3" t="inlineStr">
        <is>
          <t>Proyecto de implementación de áreas de esparcimiento II Etapa</t>
        </is>
      </c>
      <c r="Q239" s="3" t="inlineStr">
        <is>
          <t>SI</t>
        </is>
      </c>
      <c r="R239" s="3" t="inlineStr">
        <is>
          <t>UTP Lima Sur</t>
        </is>
      </c>
      <c r="S239" s="3" t="n">
        <v>10220106</v>
      </c>
      <c r="T239" s="3" t="inlineStr">
        <is>
          <t>UTP EL TRIUNFO S/N-VILLA SALVA - LIMA</t>
        </is>
      </c>
      <c r="U239" s="3" t="n">
        <v>40000</v>
      </c>
      <c r="V239" s="3" t="n">
        <v>70279.00999999999</v>
      </c>
      <c r="W239" s="3" t="inlineStr">
        <is>
          <t>B</t>
        </is>
      </c>
      <c r="X239" s="4" t="n">
        <v>46150</v>
      </c>
      <c r="Y239" s="4" t="n">
        <v>46265</v>
      </c>
      <c r="Z239" s="4" t="n">
        <v>46161</v>
      </c>
      <c r="AA239" s="6" t="n"/>
      <c r="AB239" s="3" t="inlineStr">
        <is>
          <t>EJECUTADO</t>
        </is>
      </c>
      <c r="AD239" s="3" t="inlineStr">
        <is>
          <t>Proyectos Ops</t>
        </is>
      </c>
      <c r="AE239" s="3" t="inlineStr">
        <is>
          <t>SC-0000128222-2026 / SC-0000133362-2026 / SC-0000133362-2026</t>
        </is>
      </c>
      <c r="AF239" s="3" t="inlineStr">
        <is>
          <t>15/05/2026 - 17/09</t>
        </is>
      </c>
      <c r="AG239" s="3" t="inlineStr">
        <is>
          <t>OC-0000134736-2026 / OC-0000135469-2026</t>
        </is>
      </c>
      <c r="AH239" s="7" t="n">
        <v>46188</v>
      </c>
      <c r="AI239" s="3" t="inlineStr">
        <is>
          <t>AM000965</t>
        </is>
      </c>
      <c r="AJ239" s="3" t="inlineStr">
        <is>
          <t>UTP_Proyecto de implementación de áreas de esparcimiento II Etapa_Lima Sur</t>
        </is>
      </c>
      <c r="AM239" s="3" t="inlineStr">
        <is>
          <t>NR OC-0000134736-2026 , OC-0000135469-2026 Enviados</t>
        </is>
      </c>
    </row>
    <row r="240">
      <c r="A240" s="3" t="n">
        <v>233</v>
      </c>
      <c r="B240" s="3" t="inlineStr">
        <is>
          <t>SSGG_133</t>
        </is>
      </c>
      <c r="C240" s="3" t="inlineStr">
        <is>
          <t>SSGG</t>
        </is>
      </c>
      <c r="D240" s="3" t="inlineStr">
        <is>
          <t>Eloy Pocohuanca</t>
        </is>
      </c>
      <c r="F240" s="3" t="inlineStr">
        <is>
          <t>epocohuanc@utp,edu,pe</t>
        </is>
      </c>
      <c r="G240" s="3" t="inlineStr">
        <is>
          <t>937 029 622</t>
        </is>
      </c>
      <c r="H240" s="3" t="inlineStr">
        <is>
          <t>Proyecto de implementación de áreas de esparcimiento II Etapa</t>
        </is>
      </c>
      <c r="Q240" s="3" t="inlineStr">
        <is>
          <t>SI</t>
        </is>
      </c>
      <c r="R240" s="3" t="inlineStr">
        <is>
          <t>UTP Lima Este</t>
        </is>
      </c>
      <c r="S240" s="3" t="n">
        <v>10220108</v>
      </c>
      <c r="T240" s="3" t="inlineStr">
        <is>
          <t>UTP N,AYLLON KM11,60 LOTE 96ATE -LIMA</t>
        </is>
      </c>
      <c r="U240" s="3" t="n">
        <v>40000</v>
      </c>
      <c r="V240" s="3" t="inlineStr">
        <is>
          <t>33473.83</t>
        </is>
      </c>
      <c r="W240" s="3" t="inlineStr">
        <is>
          <t>B</t>
        </is>
      </c>
      <c r="X240" s="4" t="n">
        <v>46113</v>
      </c>
      <c r="Y240" s="4" t="n">
        <v>46265</v>
      </c>
      <c r="Z240" s="4" t="n">
        <v>46172</v>
      </c>
      <c r="AA240" s="6" t="n"/>
      <c r="AB240" s="3" t="inlineStr">
        <is>
          <t>EJECUTADO</t>
        </is>
      </c>
      <c r="AD240" s="3" t="inlineStr">
        <is>
          <t>Proyectos Ops</t>
        </is>
      </c>
      <c r="AE240" s="3" t="inlineStr">
        <is>
          <t>SC-0000126648-2026 / SC-0000126649-2026 / SC-0000126650-2026 / SC-0000138457-2026/SC-0000134265-2026/SC-0000134267-2026</t>
        </is>
      </c>
      <c r="AF240" s="7" t="n">
        <v>46147</v>
      </c>
      <c r="AG240" s="3" t="inlineStr">
        <is>
          <t>OC-0000132199-2026 /OC-0000133495-2026 / OC-0000136647-2026/OC-0000142514-2026/OC-0000136647-2026 / OC-0000140619-2026/OC-0000145508-2026</t>
        </is>
      </c>
      <c r="AH240" s="3" t="inlineStr">
        <is>
          <t>25/05  04/06   22/06  23/06   22/07  21/07</t>
        </is>
      </c>
      <c r="AI240" s="3" t="inlineStr">
        <is>
          <t>AM000969</t>
        </is>
      </c>
      <c r="AJ240" s="3" t="inlineStr">
        <is>
          <t>UTP_Proyecto de implementación de áreas de esparcimiento II Etapa_Ate</t>
        </is>
      </c>
      <c r="AM240" s="3" t="inlineStr">
        <is>
          <t>SC-0000126649-2026 / SC-0000126650-2026 (GENERICO)/NR OC-0000132199-2026 enviada/ NR OC-0000136647-2026 ENVIADA/OC-0000145508-2026 TIENE NR</t>
        </is>
      </c>
    </row>
    <row r="241">
      <c r="A241" s="3" t="n">
        <v>234</v>
      </c>
      <c r="B241" s="3" t="inlineStr">
        <is>
          <t>SSGG_134</t>
        </is>
      </c>
      <c r="C241" s="3" t="inlineStr">
        <is>
          <t>SSGG</t>
        </is>
      </c>
      <c r="D241" s="3" t="inlineStr">
        <is>
          <t>Eloy Pocohuanca</t>
        </is>
      </c>
      <c r="F241" s="3" t="inlineStr">
        <is>
          <t>epocohuanc@utp,edu,pe</t>
        </is>
      </c>
      <c r="G241" s="3" t="inlineStr">
        <is>
          <t>937 029 622</t>
        </is>
      </c>
      <c r="H241" s="3" t="inlineStr">
        <is>
          <t>Proyecto de implementación de áreas de esparcimiento II Etapa</t>
        </is>
      </c>
      <c r="Q241" s="3" t="inlineStr">
        <is>
          <t>SI</t>
        </is>
      </c>
      <c r="R241" s="3" t="inlineStr">
        <is>
          <t>UTP SJL</t>
        </is>
      </c>
      <c r="S241" s="3" t="n">
        <v>10220110</v>
      </c>
      <c r="T241" s="3" t="inlineStr">
        <is>
          <t>UTP AV,SOL SUB LT 13B MZG SJL - LIMA</t>
        </is>
      </c>
      <c r="U241" s="3" t="n">
        <v>40000</v>
      </c>
      <c r="V241" s="3" t="n">
        <v>32399.99</v>
      </c>
      <c r="W241" s="3" t="inlineStr">
        <is>
          <t>B</t>
        </is>
      </c>
      <c r="X241" s="4" t="n">
        <v>46188</v>
      </c>
      <c r="Y241" s="4" t="n">
        <v>46265</v>
      </c>
      <c r="Z241" s="6" t="n"/>
      <c r="AA241" s="6" t="n"/>
      <c r="AB241" s="3" t="inlineStr">
        <is>
          <t>EJECUTADO</t>
        </is>
      </c>
      <c r="AD241" s="3" t="inlineStr">
        <is>
          <t>Proyectos Ops</t>
        </is>
      </c>
      <c r="AE241" s="3" t="inlineStr">
        <is>
          <t>SC-0000137451-2026/SC-0000143405-2026</t>
        </is>
      </c>
      <c r="AF241" s="3" t="inlineStr">
        <is>
          <t>31/07 09/09</t>
        </is>
      </c>
      <c r="AG241" s="3" t="inlineStr">
        <is>
          <t>OC-0000141912-2026/OC-0000144205-2026</t>
        </is>
      </c>
      <c r="AH241" s="3" t="inlineStr">
        <is>
          <t>31/07 18/08</t>
        </is>
      </c>
      <c r="AI241" s="3" t="inlineStr">
        <is>
          <t>AM000970</t>
        </is>
      </c>
      <c r="AJ241" s="3" t="inlineStr">
        <is>
          <t>UTP_Proyecto de implementación de áreas de esparcimiento II Etapa_SJL</t>
        </is>
      </c>
      <c r="AK241" s="7" t="n">
        <v>46246</v>
      </c>
      <c r="AM241" s="3" t="inlineStr">
        <is>
          <t>Consultar con Jossi - Diseño</t>
        </is>
      </c>
    </row>
    <row r="242">
      <c r="A242" s="3" t="n">
        <v>235</v>
      </c>
      <c r="B242" s="3" t="inlineStr">
        <is>
          <t>SSGG_135</t>
        </is>
      </c>
      <c r="C242" s="3" t="inlineStr">
        <is>
          <t>SSGG</t>
        </is>
      </c>
      <c r="D242" s="3" t="inlineStr">
        <is>
          <t>Eloy Pocohuanca</t>
        </is>
      </c>
      <c r="F242" s="3" t="inlineStr">
        <is>
          <t>epocohuanc@utp,edu,pe</t>
        </is>
      </c>
      <c r="G242" s="3" t="inlineStr">
        <is>
          <t>937 029 622</t>
        </is>
      </c>
      <c r="H242" s="3" t="inlineStr">
        <is>
          <t>Proyecto de implementación de áreas de esparcimiento II Etapa</t>
        </is>
      </c>
      <c r="Q242" s="3" t="inlineStr">
        <is>
          <t>SI</t>
        </is>
      </c>
      <c r="R242" s="3" t="inlineStr">
        <is>
          <t>UTP Ica</t>
        </is>
      </c>
      <c r="S242" s="3" t="n">
        <v>70160101</v>
      </c>
      <c r="T242" s="3" t="inlineStr">
        <is>
          <t>UTP SUB EUB-5 SAN JOSE - ICA</t>
        </is>
      </c>
      <c r="U242" s="3" t="n">
        <v>40000</v>
      </c>
      <c r="V242" s="3" t="n">
        <v>18275.81</v>
      </c>
      <c r="W242" s="3" t="inlineStr">
        <is>
          <t>B</t>
        </is>
      </c>
      <c r="X242" s="4" t="n">
        <v>46174</v>
      </c>
      <c r="Y242" s="4" t="n">
        <v>46265</v>
      </c>
      <c r="Z242" s="6" t="n"/>
      <c r="AA242" s="6" t="n"/>
      <c r="AB242" s="3" t="inlineStr">
        <is>
          <t>EJECUTADO</t>
        </is>
      </c>
      <c r="AD242" s="3" t="inlineStr">
        <is>
          <t>Proyectos Ops</t>
        </is>
      </c>
      <c r="AE242" s="3" t="inlineStr">
        <is>
          <t>SC-0000126648-2026 / SC-0000126649-2026/ SC-0000136124-2026</t>
        </is>
      </c>
      <c r="AF242" s="7" t="n">
        <v>46147</v>
      </c>
      <c r="AG242" s="3" t="inlineStr">
        <is>
          <t xml:space="preserve">OC-0000142538-2026 </t>
        </is>
      </c>
      <c r="AH242" s="7" t="n">
        <v>46238</v>
      </c>
      <c r="AI242" s="3" t="inlineStr">
        <is>
          <t>AM000974</t>
        </is>
      </c>
      <c r="AJ242" s="3" t="inlineStr">
        <is>
          <t>UTP_Proyecto de implementación de áreas de esparcimiento II Etapa_Ica</t>
        </is>
      </c>
      <c r="AM242" s="3" t="inlineStr">
        <is>
          <t>Consultar con Jossi</t>
        </is>
      </c>
    </row>
    <row r="243">
      <c r="A243" s="3" t="n">
        <v>236</v>
      </c>
      <c r="B243" s="3" t="inlineStr">
        <is>
          <t>SSGG_136</t>
        </is>
      </c>
      <c r="C243" s="3" t="inlineStr">
        <is>
          <t>SSGG</t>
        </is>
      </c>
      <c r="D243" s="3" t="inlineStr">
        <is>
          <t>Eloy Pocohuanca</t>
        </is>
      </c>
      <c r="F243" s="3" t="inlineStr">
        <is>
          <t>epocohuanc@utp,edu,pe</t>
        </is>
      </c>
      <c r="G243" s="3" t="inlineStr">
        <is>
          <t>937 029 622</t>
        </is>
      </c>
      <c r="H243" s="3" t="inlineStr">
        <is>
          <t>Proyecto de implementación de áreas de esparcimiento II Etapa</t>
        </is>
      </c>
      <c r="Q243" s="3" t="inlineStr">
        <is>
          <t>SI</t>
        </is>
      </c>
      <c r="R243" s="3" t="inlineStr">
        <is>
          <t>UTP Huancayo</t>
        </is>
      </c>
      <c r="S243" s="3" t="n">
        <v>70190101</v>
      </c>
      <c r="T243" s="3" t="inlineStr">
        <is>
          <t>UTP AV,CIRCUNVALACIÓN 449 - HUANCAYO</t>
        </is>
      </c>
      <c r="U243" s="3" t="n">
        <v>40000</v>
      </c>
      <c r="V243" s="3" t="n">
        <v>24743.5392</v>
      </c>
      <c r="W243" s="3" t="inlineStr">
        <is>
          <t>B</t>
        </is>
      </c>
      <c r="X243" s="4" t="n">
        <v>46188</v>
      </c>
      <c r="Y243" s="4" t="n">
        <v>46265</v>
      </c>
      <c r="Z243" s="6" t="n"/>
      <c r="AA243" s="6" t="n"/>
      <c r="AB243" s="3" t="inlineStr">
        <is>
          <t>EJECUTADO</t>
        </is>
      </c>
      <c r="AD243" s="3" t="inlineStr">
        <is>
          <t>Proyectos Ops</t>
        </is>
      </c>
      <c r="AE243" s="3" t="inlineStr">
        <is>
          <t>SC-0000136125-2026/ SC-0000136124-2026</t>
        </is>
      </c>
      <c r="AF243" s="7" t="n">
        <v>46209</v>
      </c>
      <c r="AG243" s="3" t="inlineStr">
        <is>
          <t>OC-0000141564-2026/OC-0000142535-202/OC-0000142535-2026</t>
        </is>
      </c>
      <c r="AH243" s="3" t="inlineStr">
        <is>
          <t>25/07  08/04</t>
        </is>
      </c>
      <c r="AI243" s="3" t="inlineStr">
        <is>
          <t>AM000975</t>
        </is>
      </c>
      <c r="AJ243" s="3" t="inlineStr">
        <is>
          <t>UTP_Proyecto de implementación de áreas de esparcimiento II Etapa_Huancayo</t>
        </is>
      </c>
      <c r="AM243" s="3" t="inlineStr">
        <is>
          <t>En proceso con Jossi/OC-0000142535-2026 YA TIENE NR</t>
        </is>
      </c>
    </row>
    <row r="244">
      <c r="A244" s="3" t="n">
        <v>237</v>
      </c>
      <c r="B244" s="3" t="inlineStr">
        <is>
          <t>SSGG_137</t>
        </is>
      </c>
      <c r="C244" s="3" t="inlineStr">
        <is>
          <t>SSGG</t>
        </is>
      </c>
      <c r="D244" s="3" t="inlineStr">
        <is>
          <t>Eloy Pocohuanca</t>
        </is>
      </c>
      <c r="F244" s="3" t="inlineStr">
        <is>
          <t>epocohuanc@utp,edu,pe</t>
        </is>
      </c>
      <c r="G244" s="3" t="inlineStr">
        <is>
          <t>937 029 622</t>
        </is>
      </c>
      <c r="H244" s="3" t="inlineStr">
        <is>
          <t>Proyecto de implementación de áreas de esparcimiento II Etapa</t>
        </is>
      </c>
      <c r="Q244" s="3" t="inlineStr">
        <is>
          <t>SI</t>
        </is>
      </c>
      <c r="R244" s="3" t="inlineStr">
        <is>
          <t>UTP Chiclayo</t>
        </is>
      </c>
      <c r="S244" s="3" t="n">
        <v>70120201</v>
      </c>
      <c r="T244" s="3" t="inlineStr">
        <is>
          <t>UTP AV, PROGRESO CON AV, EVITAMIENTO S/N  - CHICLAYO</t>
        </is>
      </c>
      <c r="U244" s="3" t="n">
        <v>40000</v>
      </c>
      <c r="V244" s="3" t="n">
        <v>45519.91</v>
      </c>
      <c r="W244" s="3" t="inlineStr">
        <is>
          <t>B</t>
        </is>
      </c>
      <c r="X244" s="4" t="n">
        <v>46174</v>
      </c>
      <c r="Y244" s="4" t="n">
        <v>46265</v>
      </c>
      <c r="Z244" s="6" t="n"/>
      <c r="AA244" s="6" t="n"/>
      <c r="AB244" s="3" t="inlineStr">
        <is>
          <t>EJECUTADO</t>
        </is>
      </c>
      <c r="AD244" s="3" t="inlineStr">
        <is>
          <t>Proyectos Ops</t>
        </is>
      </c>
      <c r="AE244" s="3" t="inlineStr">
        <is>
          <t>SC-0000133361-2026/SC-0000140277-2026</t>
        </is>
      </c>
      <c r="AF244" s="7" t="n">
        <v>46192</v>
      </c>
      <c r="AG244" s="3" t="inlineStr">
        <is>
          <t>OC-0000138636-2026</t>
        </is>
      </c>
      <c r="AH244" s="7" t="n">
        <v>46209</v>
      </c>
      <c r="AI244" s="3" t="inlineStr">
        <is>
          <t>AM000976</t>
        </is>
      </c>
      <c r="AJ244" s="3" t="inlineStr">
        <is>
          <t>UTP_Proyecto de implementación de áreas de esparcimiento II Etapa_Chiclayo</t>
        </is>
      </c>
      <c r="AM244" s="3" t="inlineStr">
        <is>
          <t>En proceso con Jossi</t>
        </is>
      </c>
    </row>
    <row r="245">
      <c r="A245" s="3" t="n">
        <v>238</v>
      </c>
      <c r="B245" s="3" t="inlineStr">
        <is>
          <t>SSGG_138</t>
        </is>
      </c>
      <c r="C245" s="3" t="inlineStr">
        <is>
          <t>SSGG</t>
        </is>
      </c>
      <c r="D245" s="3" t="inlineStr">
        <is>
          <t>Eloy Pocohuanca</t>
        </is>
      </c>
      <c r="F245" s="3" t="inlineStr">
        <is>
          <t>epocohuanc@utp,edu,pe</t>
        </is>
      </c>
      <c r="G245" s="3" t="inlineStr">
        <is>
          <t>937 029 622</t>
        </is>
      </c>
      <c r="H245" s="3" t="inlineStr">
        <is>
          <t>Proyecto de implementación de áreas de esparcimiento II Etapa</t>
        </is>
      </c>
      <c r="Q245" s="3" t="inlineStr">
        <is>
          <t>SI</t>
        </is>
      </c>
      <c r="R245" s="3" t="inlineStr">
        <is>
          <t>UTP Piura</t>
        </is>
      </c>
      <c r="S245" s="3" t="n">
        <v>70170101</v>
      </c>
      <c r="T245" s="3" t="inlineStr">
        <is>
          <t>UTP AV,PANAMERICANA 234 -PIURA</t>
        </is>
      </c>
      <c r="U245" s="3" t="n">
        <v>40000</v>
      </c>
      <c r="V245" s="3" t="n">
        <v>40000</v>
      </c>
      <c r="W245" s="3" t="inlineStr">
        <is>
          <t>B</t>
        </is>
      </c>
      <c r="X245" s="4" t="n">
        <v>46174</v>
      </c>
      <c r="Y245" s="4" t="n">
        <v>46265</v>
      </c>
      <c r="Z245" s="6" t="n"/>
      <c r="AA245" s="6" t="n"/>
      <c r="AB245" s="3" t="inlineStr">
        <is>
          <t>EJECUTADO</t>
        </is>
      </c>
      <c r="AD245" s="3" t="inlineStr">
        <is>
          <t>Proyectos Ops</t>
        </is>
      </c>
      <c r="AE245" s="3" t="inlineStr">
        <is>
          <t>SC-0000134265-2026 / SC-0000134267-2026</t>
        </is>
      </c>
      <c r="AF245" s="7" t="n">
        <v>46195</v>
      </c>
      <c r="AI245" s="3" t="inlineStr">
        <is>
          <t>AM000977</t>
        </is>
      </c>
      <c r="AJ245" s="3" t="inlineStr">
        <is>
          <t>UTP_Proyecto de implementación de áreas de esparcimiento II Etapa_Piura</t>
        </is>
      </c>
      <c r="AM245" s="3" t="inlineStr">
        <is>
          <t>En proceso con Jossi</t>
        </is>
      </c>
    </row>
    <row r="246">
      <c r="A246" s="3" t="n">
        <v>239</v>
      </c>
      <c r="B246" s="3" t="inlineStr">
        <is>
          <t>SSGG_139</t>
        </is>
      </c>
      <c r="C246" s="3" t="inlineStr">
        <is>
          <t>SSGG</t>
        </is>
      </c>
      <c r="D246" s="3" t="inlineStr">
        <is>
          <t>Eloy Pocohuanca</t>
        </is>
      </c>
      <c r="F246" s="3" t="inlineStr">
        <is>
          <t>epocohuanc@utp,edu,pe</t>
        </is>
      </c>
      <c r="G246" s="3" t="inlineStr">
        <is>
          <t>937 029 622</t>
        </is>
      </c>
      <c r="H246" s="3" t="inlineStr">
        <is>
          <t>Proyecto de implementación de áreas de esparcimiento II Etapa</t>
        </is>
      </c>
      <c r="Q246" s="3" t="inlineStr">
        <is>
          <t>SI</t>
        </is>
      </c>
      <c r="R246" s="3" t="inlineStr">
        <is>
          <t>UTP Trujillo</t>
        </is>
      </c>
      <c r="S246" s="3" t="n">
        <v>70180103</v>
      </c>
      <c r="T246" s="3" t="inlineStr">
        <is>
          <t>UTP NICOLAS PIEROLA - TRUJILLO</t>
        </is>
      </c>
      <c r="U246" s="3" t="n">
        <v>40000</v>
      </c>
      <c r="V246" s="3" t="n">
        <v>40280.842</v>
      </c>
      <c r="W246" s="3" t="inlineStr">
        <is>
          <t>B</t>
        </is>
      </c>
      <c r="X246" s="4" t="n">
        <v>46188</v>
      </c>
      <c r="Y246" s="4" t="n">
        <v>46265</v>
      </c>
      <c r="Z246" s="6" t="n"/>
      <c r="AA246" s="6" t="n"/>
      <c r="AB246" s="3" t="inlineStr">
        <is>
          <t>EJECUTADO</t>
        </is>
      </c>
      <c r="AD246" s="3" t="inlineStr">
        <is>
          <t>Proyectos Ops</t>
        </is>
      </c>
      <c r="AE246" s="3" t="inlineStr">
        <is>
          <t>SC-0000136124-2026/SC-0000136125-2026</t>
        </is>
      </c>
      <c r="AF246" s="7" t="n">
        <v>46120</v>
      </c>
      <c r="AG246" s="3" t="inlineStr">
        <is>
          <t>OC-0000142541-2026/ OC-0000141749-2026</t>
        </is>
      </c>
      <c r="AH246" s="3" t="inlineStr">
        <is>
          <t>08/04 30/07</t>
        </is>
      </c>
      <c r="AI246" s="3" t="inlineStr">
        <is>
          <t>AM000978</t>
        </is>
      </c>
      <c r="AJ246" s="3" t="inlineStr">
        <is>
          <t>UTP_Proyecto de implementación de áreas de esparcimiento II Etapa_Trujillo</t>
        </is>
      </c>
      <c r="AM246" s="3" t="inlineStr">
        <is>
          <t>En proceso con Jossi/ OC-0000142541-2026 TIENE NR</t>
        </is>
      </c>
    </row>
    <row r="247">
      <c r="A247" s="3" t="n">
        <v>240</v>
      </c>
      <c r="B247" s="3" t="inlineStr">
        <is>
          <t>SSGG_140</t>
        </is>
      </c>
      <c r="C247" s="3" t="inlineStr">
        <is>
          <t>SSGG</t>
        </is>
      </c>
      <c r="D247" s="3" t="inlineStr">
        <is>
          <t>Eloy Pocohuanca</t>
        </is>
      </c>
      <c r="F247" s="3" t="inlineStr">
        <is>
          <t>epocohuanc@utp,edu,pe</t>
        </is>
      </c>
      <c r="G247" s="3" t="inlineStr">
        <is>
          <t>937 029 622</t>
        </is>
      </c>
      <c r="H247" s="3" t="inlineStr">
        <is>
          <t>Proyecto de implementación de áreas de esparcimiento II Etapa</t>
        </is>
      </c>
      <c r="Q247" s="3" t="inlineStr">
        <is>
          <t>SI</t>
        </is>
      </c>
      <c r="R247" s="3" t="inlineStr">
        <is>
          <t>UTP Chimbote</t>
        </is>
      </c>
      <c r="S247" s="3" t="n">
        <v>70150101</v>
      </c>
      <c r="T247" s="3" t="inlineStr">
        <is>
          <t>UTP PASERO DEL MAR MZ C9- LT2 - CHIMBOTE</t>
        </is>
      </c>
      <c r="U247" s="3" t="n">
        <v>40000</v>
      </c>
      <c r="V247" s="3" t="n">
        <v>40000</v>
      </c>
      <c r="W247" s="3" t="inlineStr">
        <is>
          <t>B</t>
        </is>
      </c>
      <c r="X247" s="4" t="n">
        <v>46188</v>
      </c>
      <c r="Y247" s="4" t="n">
        <v>46265</v>
      </c>
      <c r="Z247" s="6" t="n"/>
      <c r="AA247" s="6" t="n"/>
      <c r="AB247" s="3" t="inlineStr">
        <is>
          <t>EJECUTADO</t>
        </is>
      </c>
      <c r="AD247" s="3" t="inlineStr">
        <is>
          <t>Proyectos Ops</t>
        </is>
      </c>
      <c r="AI247" s="3" t="inlineStr">
        <is>
          <t>AM000979</t>
        </is>
      </c>
      <c r="AJ247" s="3" t="inlineStr">
        <is>
          <t>UTP_Proyecto de implementación de áreas de esparcimiento II Etapa_Chimbote</t>
        </is>
      </c>
      <c r="AM247" s="3" t="inlineStr">
        <is>
          <t>En proceso con Jossi</t>
        </is>
      </c>
    </row>
    <row r="248">
      <c r="A248" s="3" t="n">
        <v>241</v>
      </c>
      <c r="B248" s="3" t="inlineStr">
        <is>
          <t>SSGG_141</t>
        </is>
      </c>
      <c r="C248" s="3" t="inlineStr">
        <is>
          <t>SSGG</t>
        </is>
      </c>
      <c r="D248" s="3" t="inlineStr">
        <is>
          <t>Eloy Pocohuanca</t>
        </is>
      </c>
      <c r="F248" s="3" t="inlineStr">
        <is>
          <t>epocohuanc@utp,edu,pe</t>
        </is>
      </c>
      <c r="G248" s="3" t="inlineStr">
        <is>
          <t>937 029 622</t>
        </is>
      </c>
      <c r="H248" s="3" t="inlineStr">
        <is>
          <t>Proyecto de implementación de áreas de esparcimiento II Etapa Arequipa Parra 1</t>
        </is>
      </c>
      <c r="Q248" s="3" t="inlineStr">
        <is>
          <t>SI</t>
        </is>
      </c>
      <c r="R248" s="3" t="inlineStr">
        <is>
          <t>UTP Arequipa</t>
        </is>
      </c>
      <c r="S248" s="3" t="n">
        <v>70110107</v>
      </c>
      <c r="T248" s="3" t="inlineStr">
        <is>
          <t>UTP PARRA WASHINGT 217-219 AREQUIPA</t>
        </is>
      </c>
      <c r="U248" s="3" t="n">
        <v>40000</v>
      </c>
      <c r="V248" s="3" t="n">
        <v>47547.92</v>
      </c>
      <c r="W248" s="3" t="inlineStr">
        <is>
          <t>B</t>
        </is>
      </c>
      <c r="X248" s="4" t="n">
        <v>46178</v>
      </c>
      <c r="Y248" s="4" t="n">
        <v>46265</v>
      </c>
      <c r="Z248" s="6" t="n"/>
      <c r="AA248" s="6" t="n"/>
      <c r="AB248" s="3" t="inlineStr">
        <is>
          <t>EJECUTADO</t>
        </is>
      </c>
      <c r="AD248" s="3" t="inlineStr">
        <is>
          <t>Proyectos Ops</t>
        </is>
      </c>
      <c r="AE248" s="3" t="inlineStr">
        <is>
          <t>SC-0000136124-2026</t>
        </is>
      </c>
      <c r="AF248" s="7" t="n">
        <v>46120</v>
      </c>
      <c r="AG248" s="3" t="inlineStr">
        <is>
          <t xml:space="preserve"> OC-0000142520-2026/ OC-0000142524-2026/OC-0000141900-2026</t>
        </is>
      </c>
      <c r="AH248" s="3" t="inlineStr">
        <is>
          <t>08/04  08/04</t>
        </is>
      </c>
      <c r="AI248" s="3" t="inlineStr">
        <is>
          <t>AM000972</t>
        </is>
      </c>
      <c r="AJ248" s="3" t="inlineStr">
        <is>
          <t>UTP_Proyecto de implementación de áreas de esparcimiento II Etapa_Arequipa Parra 1</t>
        </is>
      </c>
      <c r="AM248" s="3" t="inlineStr">
        <is>
          <t>En proceso con Jossi/ OC-0000142520-2026 TINEN NR/OC-0000141900-2026TIENE NR</t>
        </is>
      </c>
    </row>
    <row r="249">
      <c r="A249" s="3" t="n">
        <v>242</v>
      </c>
      <c r="B249" s="3" t="inlineStr">
        <is>
          <t>SSGG_142</t>
        </is>
      </c>
      <c r="C249" s="3" t="inlineStr">
        <is>
          <t>SSGG</t>
        </is>
      </c>
      <c r="D249" s="3" t="inlineStr">
        <is>
          <t>Eloy Pocohuanca</t>
        </is>
      </c>
      <c r="F249" s="3" t="inlineStr">
        <is>
          <t>epocohuanc@utp,edu,pe</t>
        </is>
      </c>
      <c r="G249" s="3" t="inlineStr">
        <is>
          <t>937 029 622</t>
        </is>
      </c>
      <c r="H249" s="3" t="inlineStr">
        <is>
          <t>Proyecto de implementación de áreas de esparcimiento II Etapa Arequipa Parra 2</t>
        </is>
      </c>
      <c r="Q249" s="3" t="inlineStr">
        <is>
          <t>SI</t>
        </is>
      </c>
      <c r="R249" s="3" t="inlineStr">
        <is>
          <t>UTP Arequipa</t>
        </is>
      </c>
      <c r="S249" s="3" t="n">
        <v>70110103</v>
      </c>
      <c r="T249" s="3" t="inlineStr">
        <is>
          <t>UTP PARRA 201-203 -  AREQUIPA</t>
        </is>
      </c>
      <c r="U249" s="3" t="n">
        <v>40000</v>
      </c>
      <c r="V249" s="3" t="n">
        <v>40000</v>
      </c>
      <c r="W249" s="3" t="inlineStr">
        <is>
          <t>B</t>
        </is>
      </c>
      <c r="X249" s="4" t="n">
        <v>46178</v>
      </c>
      <c r="Y249" s="4" t="n">
        <v>46265</v>
      </c>
      <c r="Z249" s="6" t="n"/>
      <c r="AA249" s="6" t="n"/>
      <c r="AB249" s="3" t="inlineStr">
        <is>
          <t>EJECUTADO</t>
        </is>
      </c>
      <c r="AD249" s="3" t="inlineStr">
        <is>
          <t>Proyectos Ops</t>
        </is>
      </c>
      <c r="AI249" s="3" t="inlineStr">
        <is>
          <t>AM000973</t>
        </is>
      </c>
      <c r="AJ249" s="3" t="inlineStr">
        <is>
          <t>UTP_Proyecto de implementación de áreas de esparcimiento II_Arequipa Parra 2</t>
        </is>
      </c>
      <c r="AM249" s="3" t="inlineStr">
        <is>
          <t>En proceso con Jossi</t>
        </is>
      </c>
    </row>
    <row r="250">
      <c r="A250" s="3" t="n">
        <v>243</v>
      </c>
      <c r="B250" s="3" t="inlineStr">
        <is>
          <t>SSGG_143</t>
        </is>
      </c>
      <c r="C250" s="3" t="inlineStr">
        <is>
          <t>SSGG</t>
        </is>
      </c>
      <c r="D250" s="3" t="inlineStr">
        <is>
          <t>Eloy Pocohuanca</t>
        </is>
      </c>
      <c r="F250" s="3" t="inlineStr">
        <is>
          <t>epocohuanc@utp,edu,pe</t>
        </is>
      </c>
      <c r="G250" s="3" t="inlineStr">
        <is>
          <t>937 029 622</t>
        </is>
      </c>
      <c r="H250" s="3" t="inlineStr">
        <is>
          <t>Proyecto de implementación de áreas de esparcimiento II Etapa Arequipa TyA</t>
        </is>
      </c>
      <c r="Q250" s="3" t="inlineStr">
        <is>
          <t>SI</t>
        </is>
      </c>
      <c r="R250" s="3" t="inlineStr">
        <is>
          <t>UTP Arequipa</t>
        </is>
      </c>
      <c r="S250" s="3" t="n">
        <v>70110101</v>
      </c>
      <c r="T250" s="3" t="inlineStr">
        <is>
          <t>UTP TACNA-ARICA 158-160-162 - AREQUIPA</t>
        </is>
      </c>
      <c r="U250" s="3" t="n">
        <v>40000</v>
      </c>
      <c r="V250" s="3" t="n">
        <v>39729.99</v>
      </c>
      <c r="W250" s="3" t="inlineStr">
        <is>
          <t>B</t>
        </is>
      </c>
      <c r="X250" s="4" t="n">
        <v>46178</v>
      </c>
      <c r="Y250" s="4" t="n">
        <v>46265</v>
      </c>
      <c r="Z250" s="6" t="n"/>
      <c r="AA250" s="6" t="n"/>
      <c r="AB250" s="3" t="inlineStr">
        <is>
          <t>EJECUTADO</t>
        </is>
      </c>
      <c r="AD250" s="3" t="inlineStr">
        <is>
          <t>Proyectos Ops</t>
        </is>
      </c>
      <c r="AE250" s="3" t="inlineStr">
        <is>
          <t>SC-0000136124-2026</t>
        </is>
      </c>
      <c r="AF250" s="7" t="n">
        <v>46238</v>
      </c>
      <c r="AG250" s="3" t="inlineStr">
        <is>
          <t xml:space="preserve">OC-0000142529-2026 </t>
        </is>
      </c>
      <c r="AH250" s="7" t="n">
        <v>46238</v>
      </c>
      <c r="AI250" s="3" t="inlineStr">
        <is>
          <t>AM000971</t>
        </is>
      </c>
      <c r="AJ250" s="3" t="inlineStr">
        <is>
          <t>UTP_Proyecto de implementación de áreas de esparcimiento II Etapa_Arequipa Tacna y Arica</t>
        </is>
      </c>
      <c r="AM250" s="3" t="inlineStr">
        <is>
          <t>En proceso con Jossi</t>
        </is>
      </c>
    </row>
    <row r="251">
      <c r="A251" s="3" t="n">
        <v>244</v>
      </c>
      <c r="B251" s="3" t="inlineStr">
        <is>
          <t>SSGG_144</t>
        </is>
      </c>
      <c r="C251" s="3" t="inlineStr">
        <is>
          <t>SSGG</t>
        </is>
      </c>
      <c r="D251" s="3" t="inlineStr">
        <is>
          <t>Eloy Pocohuanca</t>
        </is>
      </c>
      <c r="F251" s="3" t="inlineStr">
        <is>
          <t>epocohuanc@utp,edu,pe</t>
        </is>
      </c>
      <c r="G251" s="3" t="inlineStr">
        <is>
          <t>937 029 622</t>
        </is>
      </c>
      <c r="H251" s="3" t="inlineStr">
        <is>
          <t>Proyecto de implementación de áreas de esparcimiento II Etapa LC TTA</t>
        </is>
      </c>
      <c r="Q251" s="3" t="inlineStr">
        <is>
          <t>SI</t>
        </is>
      </c>
      <c r="R251" s="3" t="inlineStr">
        <is>
          <t>UTP Lima Centro</t>
        </is>
      </c>
      <c r="S251" s="3" t="n">
        <v>10110205</v>
      </c>
      <c r="T251" s="3" t="inlineStr">
        <is>
          <t>UTP AV, AREQUIPA 265-279 - LIMA</t>
        </is>
      </c>
      <c r="U251" s="3" t="n">
        <v>40000</v>
      </c>
      <c r="V251" s="3" t="n">
        <v>40000</v>
      </c>
      <c r="W251" s="3" t="inlineStr">
        <is>
          <t>B</t>
        </is>
      </c>
      <c r="X251" s="4" t="n">
        <v>46203</v>
      </c>
      <c r="Y251" s="4" t="n">
        <v>46265</v>
      </c>
      <c r="Z251" s="6" t="n"/>
      <c r="AA251" s="6" t="n"/>
      <c r="AB251" s="3" t="inlineStr">
        <is>
          <t>EJECUTADO</t>
        </is>
      </c>
      <c r="AD251" s="3" t="inlineStr">
        <is>
          <t>Proyectos Ops</t>
        </is>
      </c>
      <c r="AI251" s="3" t="inlineStr">
        <is>
          <t>AM000967</t>
        </is>
      </c>
      <c r="AJ251" s="3" t="inlineStr">
        <is>
          <t>UTP_Proyecto de implementación de áreas de esparcimiento II Etapa_Lima Centro</t>
        </is>
      </c>
      <c r="AM251" s="3" t="inlineStr">
        <is>
          <t>En proceso con Jossi</t>
        </is>
      </c>
    </row>
    <row r="252">
      <c r="A252" s="3" t="n">
        <v>245</v>
      </c>
      <c r="B252" s="3" t="inlineStr">
        <is>
          <t>SSGG_145</t>
        </is>
      </c>
      <c r="C252" s="3" t="inlineStr">
        <is>
          <t>SSGG</t>
        </is>
      </c>
      <c r="D252" s="3" t="inlineStr">
        <is>
          <t>Eloy Pocohuanca</t>
        </is>
      </c>
      <c r="F252" s="3" t="inlineStr">
        <is>
          <t>epocohuanc@utp,edu,pe</t>
        </is>
      </c>
      <c r="G252" s="3" t="inlineStr">
        <is>
          <t>937 029 622</t>
        </is>
      </c>
      <c r="H252" s="3" t="inlineStr">
        <is>
          <t>Proyecto de implementación de áreas de esparcimiento II Etapa Pacífico</t>
        </is>
      </c>
      <c r="Q252" s="3" t="inlineStr">
        <is>
          <t>SI</t>
        </is>
      </c>
      <c r="R252" s="3" t="inlineStr">
        <is>
          <t>UTP Lima Centro</t>
        </is>
      </c>
      <c r="S252" s="3" t="n">
        <v>10110102</v>
      </c>
      <c r="T252" s="3" t="inlineStr">
        <is>
          <t>UTP AREQUIPA 660- 670 - LIMA</t>
        </is>
      </c>
      <c r="U252" s="3" t="n">
        <v>40000</v>
      </c>
      <c r="V252" s="3" t="n">
        <v>40000</v>
      </c>
      <c r="W252" s="3" t="inlineStr">
        <is>
          <t>B</t>
        </is>
      </c>
      <c r="X252" s="4" t="n">
        <v>46203</v>
      </c>
      <c r="Y252" s="4" t="n">
        <v>46265</v>
      </c>
      <c r="Z252" s="6" t="n"/>
      <c r="AA252" s="6" t="n"/>
      <c r="AB252" s="3" t="inlineStr">
        <is>
          <t>EJECUTADO</t>
        </is>
      </c>
      <c r="AD252" s="3" t="inlineStr">
        <is>
          <t>Proyectos Ops</t>
        </is>
      </c>
      <c r="AE252" s="3" t="inlineStr">
        <is>
          <t>SC-0000140273-2026</t>
        </is>
      </c>
      <c r="AI252" s="3" t="inlineStr">
        <is>
          <t>AM000968</t>
        </is>
      </c>
      <c r="AJ252" s="3" t="inlineStr">
        <is>
          <t>UTP_Proyecto de implementación de áreas de esparcimiento II Etapa_LC Pacifico</t>
        </is>
      </c>
      <c r="AM252" s="3" t="inlineStr">
        <is>
          <t>Consultar Jossi</t>
        </is>
      </c>
    </row>
    <row r="253">
      <c r="A253" s="3" t="n">
        <v>246</v>
      </c>
      <c r="B253" s="3" t="inlineStr">
        <is>
          <t>SSGG_146</t>
        </is>
      </c>
      <c r="C253" s="3" t="inlineStr">
        <is>
          <t>SSGG</t>
        </is>
      </c>
      <c r="D253" s="3" t="inlineStr">
        <is>
          <t>Eloy Pocohuanca</t>
        </is>
      </c>
      <c r="F253" s="3" t="inlineStr">
        <is>
          <t>epocohuanc@utp,edu,pe</t>
        </is>
      </c>
      <c r="G253" s="3" t="inlineStr">
        <is>
          <t>937 029 622</t>
        </is>
      </c>
      <c r="H253" s="3" t="inlineStr">
        <is>
          <t>Proyecto de implementación de áreas de esparcimiento II Etapa Sede Central</t>
        </is>
      </c>
      <c r="Q253" s="3" t="inlineStr">
        <is>
          <t>SI</t>
        </is>
      </c>
      <c r="R253" s="3" t="inlineStr">
        <is>
          <t>UTP Lima Centro</t>
        </is>
      </c>
      <c r="S253" s="3" t="n">
        <v>10110201</v>
      </c>
      <c r="T253" s="3" t="inlineStr">
        <is>
          <t>UTP PETITTHOURS 116 -  LIMA</t>
        </is>
      </c>
      <c r="U253" s="3" t="n">
        <v>40000</v>
      </c>
      <c r="V253" s="3" t="n">
        <v>40000</v>
      </c>
      <c r="W253" s="3" t="inlineStr">
        <is>
          <t>B</t>
        </is>
      </c>
      <c r="X253" s="4" t="n">
        <v>46203</v>
      </c>
      <c r="Y253" s="4" t="n">
        <v>46265</v>
      </c>
      <c r="Z253" s="6" t="n"/>
      <c r="AA253" s="6" t="n"/>
      <c r="AB253" s="3" t="inlineStr">
        <is>
          <t>EJECUTADO</t>
        </is>
      </c>
      <c r="AD253" s="3" t="inlineStr">
        <is>
          <t>Proyectos Ops</t>
        </is>
      </c>
      <c r="AI253" s="3" t="inlineStr">
        <is>
          <t>AM001206</t>
        </is>
      </c>
      <c r="AJ253" s="3" t="inlineStr">
        <is>
          <t>UTP_PTT116_Implementación de áreas de esparcimiento II Etapa Sede Central</t>
        </is>
      </c>
      <c r="AK253" s="7" t="n">
        <v>46055</v>
      </c>
      <c r="AL253" s="3" t="inlineStr">
        <is>
          <t>ESEVERINO</t>
        </is>
      </c>
      <c r="AM253" s="3" t="inlineStr">
        <is>
          <t>En proceso con Jossi</t>
        </is>
      </c>
    </row>
    <row r="254">
      <c r="A254" s="3" t="n">
        <v>247</v>
      </c>
      <c r="B254" s="3" t="inlineStr">
        <is>
          <t>SSGG_147</t>
        </is>
      </c>
      <c r="C254" s="3" t="inlineStr">
        <is>
          <t>SSGG</t>
        </is>
      </c>
      <c r="D254" s="3" t="inlineStr">
        <is>
          <t>Eloy Pocohuanca</t>
        </is>
      </c>
      <c r="F254" s="3" t="inlineStr">
        <is>
          <t>epocohuanc@utp,edu,pe</t>
        </is>
      </c>
      <c r="G254" s="3" t="inlineStr">
        <is>
          <t>937 029 622</t>
        </is>
      </c>
      <c r="H254" s="3" t="inlineStr">
        <is>
          <t>Proyecto de implementación de áreas de esparcimiento II Etapa Torre II</t>
        </is>
      </c>
      <c r="Q254" s="3" t="inlineStr">
        <is>
          <t>SI</t>
        </is>
      </c>
      <c r="R254" s="3" t="inlineStr">
        <is>
          <t>UTP Lima Centro</t>
        </is>
      </c>
      <c r="S254" s="3" t="n">
        <v>10110204</v>
      </c>
      <c r="T254" s="3" t="inlineStr">
        <is>
          <t>UTP PETIT THOU383-385-TORRE II - LIMA</t>
        </is>
      </c>
      <c r="U254" s="3" t="n">
        <v>40000</v>
      </c>
      <c r="V254" s="3" t="n">
        <v>40000</v>
      </c>
      <c r="W254" s="3" t="inlineStr">
        <is>
          <t>B</t>
        </is>
      </c>
      <c r="X254" s="4" t="n">
        <v>46174</v>
      </c>
      <c r="Y254" s="4" t="n">
        <v>46265</v>
      </c>
      <c r="Z254" s="6" t="n"/>
      <c r="AA254" s="6" t="n"/>
      <c r="AB254" s="3" t="inlineStr">
        <is>
          <t>EJECUTADO</t>
        </is>
      </c>
      <c r="AD254" s="3" t="inlineStr">
        <is>
          <t>Proyectos Ops</t>
        </is>
      </c>
      <c r="AI254" s="3" t="inlineStr">
        <is>
          <t>AM000966</t>
        </is>
      </c>
      <c r="AJ254" s="3" t="inlineStr">
        <is>
          <t>UTP_Proyecto de implementación de áreas de esparcimiento II Etapa_LC Torre II</t>
        </is>
      </c>
      <c r="AM254" s="3" t="inlineStr">
        <is>
          <t>Conversar con Jossi</t>
        </is>
      </c>
    </row>
    <row r="255">
      <c r="A255" s="3" t="n">
        <v>248</v>
      </c>
      <c r="B255" s="3" t="inlineStr">
        <is>
          <t>SSGG_148</t>
        </is>
      </c>
      <c r="C255" s="3" t="inlineStr">
        <is>
          <t>SSGG</t>
        </is>
      </c>
      <c r="D255" s="3" t="inlineStr">
        <is>
          <t xml:space="preserve">Eloy Pocohuanca / Alberto Fajardo Corpancho / Elmer Raul ILLANES PAUCAR </t>
        </is>
      </c>
      <c r="F255" s="3" t="inlineStr">
        <is>
          <t>epocohuanc@utp,edu,pe / jfajardo@utp,edu,pe / eillanes@utp,edu,pe</t>
        </is>
      </c>
      <c r="G255" s="3" t="inlineStr">
        <is>
          <t>937 029 622 / 960 961 878 / 994 690 404</t>
        </is>
      </c>
      <c r="H255" s="3" t="inlineStr">
        <is>
          <t>Proyecto de reductores de velocidad en los estacionamientos (incluye elaboración del diseño y ejecución)</t>
        </is>
      </c>
      <c r="Q255" s="3" t="inlineStr">
        <is>
          <t>SI</t>
        </is>
      </c>
      <c r="R255" s="3" t="inlineStr">
        <is>
          <t>UTP Lima Norte</t>
        </is>
      </c>
      <c r="S255" s="3" t="n">
        <v>10220111</v>
      </c>
      <c r="T255" s="3" t="inlineStr">
        <is>
          <t>UTP AV,INFANTAS MZ 2E LOTE 28, URB, STA LUISA - LOS OLIVOS</t>
        </is>
      </c>
      <c r="U255" s="3" t="n">
        <v>16000</v>
      </c>
      <c r="W255" s="3" t="inlineStr">
        <is>
          <t>A</t>
        </is>
      </c>
      <c r="X255" s="4" t="n">
        <v>46174</v>
      </c>
      <c r="Y255" s="4" t="n">
        <v>46339</v>
      </c>
      <c r="Z255" s="6" t="n"/>
      <c r="AA255" s="6" t="n"/>
      <c r="AB255" s="3" t="inlineStr">
        <is>
          <t>EN PROCESO</t>
        </is>
      </c>
      <c r="AD255" s="3" t="inlineStr">
        <is>
          <t>Proyectos Ops / Seguridad / Mantenimiento</t>
        </is>
      </c>
      <c r="AE255" s="3" t="inlineStr">
        <is>
          <t>SC-0000129989-2026</t>
        </is>
      </c>
      <c r="AF255" s="7" t="n">
        <v>46168</v>
      </c>
      <c r="AI255" s="3" t="inlineStr">
        <is>
          <t>PROY1330</t>
        </is>
      </c>
      <c r="AJ255" s="3" t="inlineStr">
        <is>
          <t>UTP_Proyecto de reductores de velocidad en los estacionamientos (incluye elaboración del diseño y ejecución)</t>
        </is>
      </c>
      <c r="AM255" s="3" t="inlineStr">
        <is>
          <t>Consultar con Raul</t>
        </is>
      </c>
    </row>
    <row r="256">
      <c r="A256" s="3" t="n">
        <v>249</v>
      </c>
      <c r="B256" s="3" t="inlineStr">
        <is>
          <t>SSGG_149</t>
        </is>
      </c>
      <c r="C256" s="3" t="inlineStr">
        <is>
          <t>SSGG</t>
        </is>
      </c>
      <c r="D256" s="3" t="inlineStr">
        <is>
          <t xml:space="preserve">Eloy Pocohuanca / Alberto Fajardo Corpancho / Elmer Raul ILLANES PAUCAR </t>
        </is>
      </c>
      <c r="F256" s="3" t="inlineStr">
        <is>
          <t>epocohuanc@utp,edu,pe / jfajardo@utp,edu,pe / eillanes@utp,edu,pe</t>
        </is>
      </c>
      <c r="G256" s="3" t="inlineStr">
        <is>
          <t>937 029 622 / 960 961 878 / 994 690 404</t>
        </is>
      </c>
      <c r="H256" s="3" t="inlineStr">
        <is>
          <t>Proyecto de reductores de velocidad en los estacionamientos (incluye elaboración del diseño y ejecución)</t>
        </is>
      </c>
      <c r="Q256" s="3" t="inlineStr">
        <is>
          <t>SI</t>
        </is>
      </c>
      <c r="R256" s="3" t="inlineStr">
        <is>
          <t>UTP Lima Sur</t>
        </is>
      </c>
      <c r="S256" s="3" t="n">
        <v>10220106</v>
      </c>
      <c r="T256" s="3" t="inlineStr">
        <is>
          <t>UTP EL TRIUNFO S/N-VILLA SALVA - LIMA</t>
        </is>
      </c>
      <c r="U256" s="3" t="n">
        <v>16000</v>
      </c>
      <c r="W256" s="3" t="inlineStr">
        <is>
          <t>A</t>
        </is>
      </c>
      <c r="X256" s="4" t="n">
        <v>46174</v>
      </c>
      <c r="Y256" s="4" t="n">
        <v>46339</v>
      </c>
      <c r="Z256" s="6" t="n"/>
      <c r="AA256" s="6" t="n"/>
      <c r="AB256" s="3" t="inlineStr">
        <is>
          <t>EN PROCESO</t>
        </is>
      </c>
      <c r="AD256" s="3" t="inlineStr">
        <is>
          <t>Proyectos Ops / Seguridad / Mantenimiento</t>
        </is>
      </c>
      <c r="AE256" s="3" t="inlineStr">
        <is>
          <t>SC-0000129989-2026</t>
        </is>
      </c>
      <c r="AF256" s="7" t="n">
        <v>46168</v>
      </c>
      <c r="AI256" s="3" t="inlineStr">
        <is>
          <t>PROY1331</t>
        </is>
      </c>
      <c r="AJ256" s="3" t="inlineStr">
        <is>
          <t>UTP_Proyecto de reductores de velocidad en los estacionamientos (incluye elaboración del diseño y ejecución)</t>
        </is>
      </c>
      <c r="AM256" s="3" t="inlineStr">
        <is>
          <t>Consultar con Raul</t>
        </is>
      </c>
    </row>
    <row r="257">
      <c r="A257" s="3" t="n">
        <v>250</v>
      </c>
      <c r="B257" s="3" t="inlineStr">
        <is>
          <t>SSGG_150</t>
        </is>
      </c>
      <c r="C257" s="3" t="inlineStr">
        <is>
          <t>SSGG</t>
        </is>
      </c>
      <c r="D257" s="3" t="inlineStr">
        <is>
          <t xml:space="preserve">Eloy Pocohuanca / Alberto Fajardo Corpancho / Elmer Raul ILLANES PAUCAR </t>
        </is>
      </c>
      <c r="F257" s="3" t="inlineStr">
        <is>
          <t>epocohuanc@utp,edu,pe / jfajardo@utp,edu,pe / eillanes@utp,edu,pe</t>
        </is>
      </c>
      <c r="G257" s="3" t="inlineStr">
        <is>
          <t>937 029 622 / 960 961 878 / 994 690 404</t>
        </is>
      </c>
      <c r="H257" s="3" t="inlineStr">
        <is>
          <t>Proyecto de reductores de velocidad en los estacionamientos (incluye elaboración del diseño y ejecución)</t>
        </is>
      </c>
      <c r="Q257" s="3" t="inlineStr">
        <is>
          <t>SI</t>
        </is>
      </c>
      <c r="R257" s="3" t="inlineStr">
        <is>
          <t>UTP Lima Este</t>
        </is>
      </c>
      <c r="S257" s="3" t="n">
        <v>10220108</v>
      </c>
      <c r="T257" s="3" t="inlineStr">
        <is>
          <t>UTP N,AYLLON KM11,60 LOTE 96ATE -LIMA</t>
        </is>
      </c>
      <c r="U257" s="3" t="n">
        <v>16000</v>
      </c>
      <c r="W257" s="3" t="inlineStr">
        <is>
          <t>A</t>
        </is>
      </c>
      <c r="X257" s="4" t="n">
        <v>46174</v>
      </c>
      <c r="Y257" s="4" t="n">
        <v>46339</v>
      </c>
      <c r="Z257" s="6" t="n"/>
      <c r="AA257" s="6" t="n"/>
      <c r="AB257" s="3" t="inlineStr">
        <is>
          <t>EN PROCESO</t>
        </is>
      </c>
      <c r="AD257" s="3" t="inlineStr">
        <is>
          <t>Proyectos Ops / Seguridad / Mantenimiento</t>
        </is>
      </c>
      <c r="AE257" s="3" t="inlineStr">
        <is>
          <t>SC-0000129989-2026</t>
        </is>
      </c>
      <c r="AF257" s="7" t="n">
        <v>46168</v>
      </c>
      <c r="AI257" s="3" t="inlineStr">
        <is>
          <t>PROY1336</t>
        </is>
      </c>
      <c r="AJ257" s="3" t="inlineStr">
        <is>
          <t>UTP_Proyecto de reductores de velocidad en los estacionamientos (incluye elaboración del diseño y ejecución)</t>
        </is>
      </c>
      <c r="AM257" s="3" t="inlineStr">
        <is>
          <t>Consultar con Raul</t>
        </is>
      </c>
    </row>
    <row r="258">
      <c r="A258" s="3" t="n">
        <v>251</v>
      </c>
      <c r="B258" s="3" t="inlineStr">
        <is>
          <t>SSGG_151</t>
        </is>
      </c>
      <c r="C258" s="3" t="inlineStr">
        <is>
          <t>SSGG</t>
        </is>
      </c>
      <c r="D258" s="3" t="inlineStr">
        <is>
          <t xml:space="preserve">Eloy Pocohuanca / Alberto Fajardo Corpancho / Elmer Raul ILLANES PAUCAR </t>
        </is>
      </c>
      <c r="F258" s="3" t="inlineStr">
        <is>
          <t>epocohuanc@utp,edu,pe / jfajardo@utp,edu,pe / eillanes@utp,edu,pe</t>
        </is>
      </c>
      <c r="G258" s="3" t="inlineStr">
        <is>
          <t>937 029 622 / 960 961 878 / 994 690 404</t>
        </is>
      </c>
      <c r="H258" s="3" t="inlineStr">
        <is>
          <t>Proyecto de reductores de velocidad en los estacionamientos (incluye elaboración del diseño y ejecución)</t>
        </is>
      </c>
      <c r="Q258" s="3" t="inlineStr">
        <is>
          <t>SI</t>
        </is>
      </c>
      <c r="R258" s="3" t="inlineStr">
        <is>
          <t>UTP SJL</t>
        </is>
      </c>
      <c r="S258" s="3" t="n">
        <v>10220110</v>
      </c>
      <c r="T258" s="3" t="inlineStr">
        <is>
          <t>UTP AV,SOL SUB LT 13B MZG SJL - LIMA</t>
        </is>
      </c>
      <c r="U258" s="3" t="n">
        <v>16000</v>
      </c>
      <c r="W258" s="3" t="inlineStr">
        <is>
          <t>A</t>
        </is>
      </c>
      <c r="X258" s="4" t="n">
        <v>46174</v>
      </c>
      <c r="Y258" s="4" t="n">
        <v>46339</v>
      </c>
      <c r="Z258" s="6" t="n"/>
      <c r="AA258" s="6" t="n"/>
      <c r="AB258" s="3" t="inlineStr">
        <is>
          <t>EN PROCESO</t>
        </is>
      </c>
      <c r="AD258" s="3" t="inlineStr">
        <is>
          <t>Proyectos Ops / Seguridad / Mantenimiento</t>
        </is>
      </c>
      <c r="AE258" s="3" t="inlineStr">
        <is>
          <t>SC-0000129989-2026</t>
        </is>
      </c>
      <c r="AF258" s="7" t="n">
        <v>46168</v>
      </c>
      <c r="AI258" s="3" t="inlineStr">
        <is>
          <t>PROY1337</t>
        </is>
      </c>
      <c r="AJ258" s="3" t="inlineStr">
        <is>
          <t>UTP_Proyecto de reductores de velocidad en los estacionamientos (incluye elaboración del diseño y ejecución)</t>
        </is>
      </c>
      <c r="AM258" s="3" t="inlineStr">
        <is>
          <t>Consultar con Raul</t>
        </is>
      </c>
    </row>
    <row r="259">
      <c r="A259" s="3" t="n">
        <v>252</v>
      </c>
      <c r="B259" s="3" t="inlineStr">
        <is>
          <t>SSGG_152</t>
        </is>
      </c>
      <c r="C259" s="3" t="inlineStr">
        <is>
          <t>SSGG</t>
        </is>
      </c>
      <c r="D259" s="3" t="inlineStr">
        <is>
          <t xml:space="preserve">Eloy Pocohuanca / Alberto Fajardo Corpancho / Elmer Raul ILLANES PAUCAR </t>
        </is>
      </c>
      <c r="F259" s="3" t="inlineStr">
        <is>
          <t>epocohuanc@utp,edu,pe / jfajardo@utp,edu,pe / eillanes@utp,edu,pe</t>
        </is>
      </c>
      <c r="G259" s="3" t="inlineStr">
        <is>
          <t>937 029 622 / 960 961 878 / 994 690 404</t>
        </is>
      </c>
      <c r="H259" s="3" t="inlineStr">
        <is>
          <t>Proyecto de reductores de velocidad en los estacionamientos (incluye elaboración del diseño y ejecución)</t>
        </is>
      </c>
      <c r="Q259" s="3" t="inlineStr">
        <is>
          <t>SI</t>
        </is>
      </c>
      <c r="R259" s="3" t="inlineStr">
        <is>
          <t>UTP Ica</t>
        </is>
      </c>
      <c r="S259" s="3" t="n">
        <v>70160101</v>
      </c>
      <c r="T259" s="3" t="inlineStr">
        <is>
          <t>UTP SUB EUB-5 SAN JOSE - ICA</t>
        </is>
      </c>
      <c r="U259" s="3" t="n">
        <v>16000</v>
      </c>
      <c r="W259" s="3" t="inlineStr">
        <is>
          <t>A</t>
        </is>
      </c>
      <c r="X259" s="4" t="n">
        <v>46174</v>
      </c>
      <c r="Y259" s="4" t="n">
        <v>46339</v>
      </c>
      <c r="Z259" s="6" t="n"/>
      <c r="AA259" s="6" t="n"/>
      <c r="AB259" s="3" t="inlineStr">
        <is>
          <t>EN PROCESO</t>
        </is>
      </c>
      <c r="AD259" s="3" t="inlineStr">
        <is>
          <t>Proyectos Ops / Seguridad / Mantenimiento</t>
        </is>
      </c>
      <c r="AE259" s="3" t="inlineStr">
        <is>
          <t>SC-0000129989-2026</t>
        </is>
      </c>
      <c r="AF259" s="7" t="n">
        <v>46168</v>
      </c>
      <c r="AI259" s="3" t="inlineStr">
        <is>
          <t>PROY1341</t>
        </is>
      </c>
      <c r="AJ259" s="3" t="inlineStr">
        <is>
          <t>UTP_Proyecto de reductores de velocidad en los estacionamientos (incluye elaboración del diseño y ejecución)</t>
        </is>
      </c>
      <c r="AM259" s="3" t="inlineStr">
        <is>
          <t>Consultar Rául</t>
        </is>
      </c>
    </row>
    <row r="260">
      <c r="A260" s="3" t="n">
        <v>253</v>
      </c>
      <c r="B260" s="3" t="inlineStr">
        <is>
          <t>SSGG_153</t>
        </is>
      </c>
      <c r="C260" s="3" t="inlineStr">
        <is>
          <t>SSGG</t>
        </is>
      </c>
      <c r="D260" s="3" t="inlineStr">
        <is>
          <t xml:space="preserve">Eloy Pocohuanca / Alberto Fajardo Corpancho / Elmer Raul ILLANES PAUCAR </t>
        </is>
      </c>
      <c r="F260" s="3" t="inlineStr">
        <is>
          <t>epocohuanc@utp,edu,pe / jfajardo@utp,edu,pe / eillanes@utp,edu,pe</t>
        </is>
      </c>
      <c r="G260" s="3" t="inlineStr">
        <is>
          <t>937 029 622 / 960 961 878 / 994 690 404</t>
        </is>
      </c>
      <c r="H260" s="3" t="inlineStr">
        <is>
          <t>Proyecto de reductores de velocidad en los estacionamientos (incluye elaboración del diseño y ejecución)</t>
        </is>
      </c>
      <c r="Q260" s="3" t="inlineStr">
        <is>
          <t>SI</t>
        </is>
      </c>
      <c r="R260" s="3" t="inlineStr">
        <is>
          <t>UTP Huancayo</t>
        </is>
      </c>
      <c r="S260" s="3" t="n">
        <v>70190101</v>
      </c>
      <c r="T260" s="3" t="inlineStr">
        <is>
          <t>UTP AV,CIRCUNVALACIÓN 449 - HUANCAYO</t>
        </is>
      </c>
      <c r="U260" s="3" t="n">
        <v>16000</v>
      </c>
      <c r="W260" s="3" t="inlineStr">
        <is>
          <t>A</t>
        </is>
      </c>
      <c r="X260" s="4" t="n">
        <v>46174</v>
      </c>
      <c r="Y260" s="4" t="n">
        <v>46339</v>
      </c>
      <c r="Z260" s="6" t="n"/>
      <c r="AA260" s="6" t="n"/>
      <c r="AB260" s="3" t="inlineStr">
        <is>
          <t>EN PROCESO</t>
        </is>
      </c>
      <c r="AD260" s="3" t="inlineStr">
        <is>
          <t>Proyectos Ops / Seguridad / Mantenimiento</t>
        </is>
      </c>
      <c r="AE260" s="3" t="inlineStr">
        <is>
          <t>SC-0000129989-2026</t>
        </is>
      </c>
      <c r="AF260" s="7" t="n">
        <v>46168</v>
      </c>
      <c r="AI260" s="3" t="inlineStr">
        <is>
          <t>PROY1342</t>
        </is>
      </c>
      <c r="AJ260" s="3" t="inlineStr">
        <is>
          <t>UTP_Proyecto de reductores de velocidad en los estacionamientos (incluye elaboración del diseño y ejecución)</t>
        </is>
      </c>
      <c r="AM260" s="3" t="inlineStr">
        <is>
          <t>Consultar con Raul</t>
        </is>
      </c>
    </row>
    <row r="261">
      <c r="A261" s="3" t="n">
        <v>254</v>
      </c>
      <c r="B261" s="3" t="inlineStr">
        <is>
          <t>SSGG_154</t>
        </is>
      </c>
      <c r="C261" s="3" t="inlineStr">
        <is>
          <t>SSGG</t>
        </is>
      </c>
      <c r="D261" s="3" t="inlineStr">
        <is>
          <t xml:space="preserve">Eloy Pocohuanca / Alberto Fajardo Corpancho / Elmer Raul ILLANES PAUCAR </t>
        </is>
      </c>
      <c r="F261" s="3" t="inlineStr">
        <is>
          <t>epocohuanc@utp,edu,pe / jfajardo@utp,edu,pe / eillanes@utp,edu,pe</t>
        </is>
      </c>
      <c r="G261" s="3" t="inlineStr">
        <is>
          <t>937 029 622 / 960 961 878 / 994 690 404</t>
        </is>
      </c>
      <c r="H261" s="3" t="inlineStr">
        <is>
          <t>Proyecto de reductores de velocidad en los estacionamientos (incluye elaboración del diseño y ejecución)</t>
        </is>
      </c>
      <c r="Q261" s="3" t="inlineStr">
        <is>
          <t>SI</t>
        </is>
      </c>
      <c r="R261" s="3" t="inlineStr">
        <is>
          <t>UTP Chiclayo</t>
        </is>
      </c>
      <c r="S261" s="3" t="n">
        <v>70120201</v>
      </c>
      <c r="T261" s="3" t="inlineStr">
        <is>
          <t>UTP AV, PROGRESO CON AV, EVITAMIENTO S/N  - CHICLAYO</t>
        </is>
      </c>
      <c r="U261" s="3" t="n">
        <v>16000</v>
      </c>
      <c r="W261" s="3" t="inlineStr">
        <is>
          <t>A</t>
        </is>
      </c>
      <c r="X261" s="4" t="n">
        <v>46174</v>
      </c>
      <c r="Y261" s="4" t="n">
        <v>46339</v>
      </c>
      <c r="Z261" s="6" t="n"/>
      <c r="AA261" s="6" t="n"/>
      <c r="AB261" s="3" t="inlineStr">
        <is>
          <t>EN PROCESO</t>
        </is>
      </c>
      <c r="AD261" s="3" t="inlineStr">
        <is>
          <t>Proyectos Ops / Seguridad / Mantenimiento</t>
        </is>
      </c>
      <c r="AE261" s="3" t="inlineStr">
        <is>
          <t>SC-0000129989-2026</t>
        </is>
      </c>
      <c r="AF261" s="7" t="n">
        <v>46168</v>
      </c>
      <c r="AI261" s="3" t="inlineStr">
        <is>
          <t>PROY1343</t>
        </is>
      </c>
      <c r="AJ261" s="3" t="inlineStr">
        <is>
          <t>UTP_Proyecto de reductores de velocidad en los estacionamientos (incluye elaboración del diseño y ejecución)</t>
        </is>
      </c>
      <c r="AM261" s="3" t="inlineStr">
        <is>
          <t>Consultar con Raul</t>
        </is>
      </c>
    </row>
    <row r="262">
      <c r="A262" s="3" t="n">
        <v>255</v>
      </c>
      <c r="B262" s="3" t="inlineStr">
        <is>
          <t>SSGG_155</t>
        </is>
      </c>
      <c r="C262" s="3" t="inlineStr">
        <is>
          <t>SSGG</t>
        </is>
      </c>
      <c r="D262" s="3" t="inlineStr">
        <is>
          <t xml:space="preserve">Eloy Pocohuanca / Alberto Fajardo Corpancho / Elmer Raul ILLANES PAUCAR </t>
        </is>
      </c>
      <c r="F262" s="3" t="inlineStr">
        <is>
          <t>epocohuanc@utp,edu,pe / jfajardo@utp,edu,pe / eillanes@utp,edu,pe</t>
        </is>
      </c>
      <c r="G262" s="3" t="inlineStr">
        <is>
          <t>937 029 622 / 960 961 878 / 994 690 404</t>
        </is>
      </c>
      <c r="H262" s="3" t="inlineStr">
        <is>
          <t>Proyecto de reductores de velocidad en los estacionamientos (incluye elaboración del diseño y ejecución)</t>
        </is>
      </c>
      <c r="Q262" s="3" t="inlineStr">
        <is>
          <t>SI</t>
        </is>
      </c>
      <c r="R262" s="3" t="inlineStr">
        <is>
          <t>UTP Piura</t>
        </is>
      </c>
      <c r="S262" s="3" t="n">
        <v>70170101</v>
      </c>
      <c r="T262" s="3" t="inlineStr">
        <is>
          <t>UTP AV,PANAMERICANA 234 -PIURA</t>
        </is>
      </c>
      <c r="U262" s="3" t="n">
        <v>16000</v>
      </c>
      <c r="W262" s="3" t="inlineStr">
        <is>
          <t>A</t>
        </is>
      </c>
      <c r="X262" s="4" t="n">
        <v>46174</v>
      </c>
      <c r="Y262" s="4" t="n">
        <v>46339</v>
      </c>
      <c r="Z262" s="6" t="n"/>
      <c r="AA262" s="6" t="n"/>
      <c r="AB262" s="3" t="inlineStr">
        <is>
          <t>EN PROCESO</t>
        </is>
      </c>
      <c r="AD262" s="3" t="inlineStr">
        <is>
          <t>Proyectos Ops / Seguridad / Mantenimiento</t>
        </is>
      </c>
      <c r="AE262" s="3" t="inlineStr">
        <is>
          <t>SC-0000129989-2026</t>
        </is>
      </c>
      <c r="AF262" s="7" t="n">
        <v>46168</v>
      </c>
      <c r="AI262" s="3" t="inlineStr">
        <is>
          <t>PROY1344</t>
        </is>
      </c>
      <c r="AJ262" s="3" t="inlineStr">
        <is>
          <t>UTP_Proyecto de reductores de velocidad en los estacionamientos (incluye elaboración del diseño y ejecución)</t>
        </is>
      </c>
      <c r="AM262" s="3" t="inlineStr">
        <is>
          <t>Consultar con Raul</t>
        </is>
      </c>
    </row>
    <row r="263">
      <c r="A263" s="3" t="n">
        <v>256</v>
      </c>
      <c r="B263" s="3" t="inlineStr">
        <is>
          <t>SSGG_156</t>
        </is>
      </c>
      <c r="C263" s="3" t="inlineStr">
        <is>
          <t>SSGG</t>
        </is>
      </c>
      <c r="D263" s="3" t="inlineStr">
        <is>
          <t xml:space="preserve">Eloy Pocohuanca / Alberto Fajardo Corpancho / Elmer Raul ILLANES PAUCAR </t>
        </is>
      </c>
      <c r="F263" s="3" t="inlineStr">
        <is>
          <t>epocohuanc@utp,edu,pe / jfajardo@utp,edu,pe / eillanes@utp,edu,pe</t>
        </is>
      </c>
      <c r="G263" s="3" t="inlineStr">
        <is>
          <t>937 029 622 / 960 961 878 / 994 690 404</t>
        </is>
      </c>
      <c r="H263" s="3" t="inlineStr">
        <is>
          <t>Proyecto de reductores de velocidad en los estacionamientos (incluye elaboración del diseño y ejecución)</t>
        </is>
      </c>
      <c r="Q263" s="3" t="inlineStr">
        <is>
          <t>SI</t>
        </is>
      </c>
      <c r="R263" s="3" t="inlineStr">
        <is>
          <t>UTP Trujillo</t>
        </is>
      </c>
      <c r="S263" s="3" t="n">
        <v>70180103</v>
      </c>
      <c r="T263" s="3" t="inlineStr">
        <is>
          <t>UTP NICOLAS PIEROLA - TRUJILLO</t>
        </is>
      </c>
      <c r="U263" s="3" t="n">
        <v>16000</v>
      </c>
      <c r="W263" s="3" t="inlineStr">
        <is>
          <t>A</t>
        </is>
      </c>
      <c r="X263" s="4" t="n">
        <v>46174</v>
      </c>
      <c r="Y263" s="4" t="n">
        <v>46339</v>
      </c>
      <c r="Z263" s="6" t="n"/>
      <c r="AA263" s="6" t="n"/>
      <c r="AB263" s="3" t="inlineStr">
        <is>
          <t>EN PROCESO</t>
        </is>
      </c>
      <c r="AD263" s="3" t="inlineStr">
        <is>
          <t>Proyectos Ops / Seguridad / Mantenimiento</t>
        </is>
      </c>
      <c r="AE263" s="3" t="inlineStr">
        <is>
          <t>SC-0000129989-2026</t>
        </is>
      </c>
      <c r="AF263" s="7" t="n">
        <v>46168</v>
      </c>
      <c r="AI263" s="3" t="inlineStr">
        <is>
          <t>PROY1345</t>
        </is>
      </c>
      <c r="AJ263" s="3" t="inlineStr">
        <is>
          <t>UTP_Proyecto de reductores de velocidad en los estacionamientos (incluye elaboración del diseño y ejecución)</t>
        </is>
      </c>
      <c r="AM263" s="3" t="inlineStr">
        <is>
          <t>Consultar con Raul</t>
        </is>
      </c>
    </row>
    <row r="264">
      <c r="A264" s="3" t="n">
        <v>257</v>
      </c>
      <c r="B264" s="3" t="inlineStr">
        <is>
          <t>SSGG_157</t>
        </is>
      </c>
      <c r="C264" s="3" t="inlineStr">
        <is>
          <t>SSGG</t>
        </is>
      </c>
      <c r="D264" s="3" t="inlineStr">
        <is>
          <t xml:space="preserve">Eloy Pocohuanca / Alberto Fajardo Corpancho / Elmer Raul ILLANES PAUCAR </t>
        </is>
      </c>
      <c r="F264" s="3" t="inlineStr">
        <is>
          <t>epocohuanc@utp,edu,pe / jfajardo@utp,edu,pe / eillanes@utp,edu,pe</t>
        </is>
      </c>
      <c r="G264" s="3" t="inlineStr">
        <is>
          <t>937 029 622 / 960 961 878 / 994 690 404</t>
        </is>
      </c>
      <c r="H264" s="3" t="inlineStr">
        <is>
          <t>Proyecto de reductores de velocidad en los estacionamientos (incluye elaboración del diseño y ejecución)</t>
        </is>
      </c>
      <c r="Q264" s="3" t="inlineStr">
        <is>
          <t>SI</t>
        </is>
      </c>
      <c r="R264" s="3" t="inlineStr">
        <is>
          <t>UTP Chimbote</t>
        </is>
      </c>
      <c r="S264" s="3" t="n">
        <v>70150101</v>
      </c>
      <c r="T264" s="3" t="inlineStr">
        <is>
          <t>UTP PASERO DEL MAR MZ C9- LT2 - CHIMBOTE</t>
        </is>
      </c>
      <c r="U264" s="3" t="n">
        <v>16000</v>
      </c>
      <c r="W264" s="3" t="inlineStr">
        <is>
          <t>A</t>
        </is>
      </c>
      <c r="X264" s="4" t="n">
        <v>46174</v>
      </c>
      <c r="Y264" s="4" t="n">
        <v>46339</v>
      </c>
      <c r="Z264" s="6" t="n"/>
      <c r="AA264" s="6" t="n"/>
      <c r="AB264" s="3" t="inlineStr">
        <is>
          <t>EN PROCESO</t>
        </is>
      </c>
      <c r="AD264" s="3" t="inlineStr">
        <is>
          <t>Proyectos Ops / Seguridad / Mantenimiento</t>
        </is>
      </c>
      <c r="AE264" s="3" t="inlineStr">
        <is>
          <t>SC-0000129989-2026</t>
        </is>
      </c>
      <c r="AF264" s="7" t="n">
        <v>46168</v>
      </c>
      <c r="AI264" s="3" t="inlineStr">
        <is>
          <t>PROY1346</t>
        </is>
      </c>
      <c r="AJ264" s="3" t="inlineStr">
        <is>
          <t>UTP_Proyecto de reductores de velocidad en los estacionamientos (incluye elaboración del diseño y ejecución)</t>
        </is>
      </c>
      <c r="AM264" s="3" t="inlineStr">
        <is>
          <t>Consultar con Raul</t>
        </is>
      </c>
    </row>
    <row r="265">
      <c r="A265" s="3" t="n">
        <v>258</v>
      </c>
      <c r="B265" s="3" t="inlineStr">
        <is>
          <t>SSGG_158</t>
        </is>
      </c>
      <c r="C265" s="3" t="inlineStr">
        <is>
          <t>SSGG</t>
        </is>
      </c>
      <c r="D265" s="3" t="inlineStr">
        <is>
          <t xml:space="preserve">Eloy Pocohuanca / Alberto Fajardo Corpancho / Elmer Raul ILLANES PAUCAR </t>
        </is>
      </c>
      <c r="F265" s="3" t="inlineStr">
        <is>
          <t>epocohuanc@utp,edu,pe / jfajardo@utp,edu,pe / eillanes@utp,edu,pe</t>
        </is>
      </c>
      <c r="G265" s="3" t="inlineStr">
        <is>
          <t>937 029 622 / 960 961 878 / 994 690 404</t>
        </is>
      </c>
      <c r="H265" s="3" t="inlineStr">
        <is>
          <t>Proyecto de reductores de velocidad en los estacionamientos (incluye elaboración del diseño y ejecución)</t>
        </is>
      </c>
      <c r="Q265" s="3" t="inlineStr">
        <is>
          <t>SI</t>
        </is>
      </c>
      <c r="R265" s="3" t="inlineStr">
        <is>
          <t>UTP Iquitos</t>
        </is>
      </c>
      <c r="S265" s="3" t="n">
        <v>70230101</v>
      </c>
      <c r="T265" s="3" t="inlineStr">
        <is>
          <t>UTP AV, ABELARDO QUIÑONES 2371 - IQUITOS</t>
        </is>
      </c>
      <c r="U265" s="3" t="n">
        <v>16000</v>
      </c>
      <c r="W265" s="3" t="inlineStr">
        <is>
          <t>A</t>
        </is>
      </c>
      <c r="X265" s="4" t="n">
        <v>46174</v>
      </c>
      <c r="Y265" s="4" t="n">
        <v>46356</v>
      </c>
      <c r="Z265" s="6" t="n"/>
      <c r="AA265" s="6" t="n"/>
      <c r="AB265" s="3" t="inlineStr">
        <is>
          <t>EN PROCESO</t>
        </is>
      </c>
      <c r="AD265" s="3" t="inlineStr">
        <is>
          <t>Proyectos Ops / Seguridad / Mantenimiento</t>
        </is>
      </c>
      <c r="AE265" s="3" t="inlineStr">
        <is>
          <t>INGRESAR SC MARIANNE</t>
        </is>
      </c>
      <c r="AI265" s="3" t="inlineStr">
        <is>
          <t>PROY1347</t>
        </is>
      </c>
      <c r="AJ265" s="3" t="inlineStr">
        <is>
          <t>UTP_Proyecto de reductores de velocidad en los estacionamientos (incluye elaboración del diseño y ejecución)</t>
        </is>
      </c>
      <c r="AM265" s="3" t="inlineStr">
        <is>
          <t>Consultar con Raul</t>
        </is>
      </c>
    </row>
    <row r="266">
      <c r="A266" s="3" t="n">
        <v>259</v>
      </c>
      <c r="B266" s="3" t="inlineStr">
        <is>
          <t>SSGG_159</t>
        </is>
      </c>
      <c r="C266" s="3" t="inlineStr">
        <is>
          <t>SSGG</t>
        </is>
      </c>
      <c r="D266" s="3" t="inlineStr">
        <is>
          <t xml:space="preserve">Eloy Pocohuanca / Alberto Fajardo Corpancho / Elmer Raul ILLANES PAUCAR </t>
        </is>
      </c>
      <c r="F266" s="3" t="inlineStr">
        <is>
          <t>epocohuanc@utp,edu,pe / jfajardo@utp,edu,pe / eillanes@utp,edu,pe</t>
        </is>
      </c>
      <c r="G266" s="3" t="inlineStr">
        <is>
          <t>937 029 622 / 960 961 878 / 994 690 404</t>
        </is>
      </c>
      <c r="H266" s="3" t="inlineStr">
        <is>
          <t>Proyecto de reductores de velocidad en los estacionamientos (incluye elaboración del diseño y ejecución)</t>
        </is>
      </c>
      <c r="Q266" s="3" t="inlineStr">
        <is>
          <t>SI</t>
        </is>
      </c>
      <c r="R266" s="3" t="inlineStr">
        <is>
          <t>UTP Pucallpa</t>
        </is>
      </c>
      <c r="S266" s="3" t="n">
        <v>70220101</v>
      </c>
      <c r="T266" s="3" t="inlineStr">
        <is>
          <t>UTP AV, CENTENARIO - PUCALLPA</t>
        </is>
      </c>
      <c r="U266" s="3" t="n">
        <v>16000</v>
      </c>
      <c r="W266" s="3" t="inlineStr">
        <is>
          <t>A</t>
        </is>
      </c>
      <c r="X266" s="4" t="n">
        <v>46174</v>
      </c>
      <c r="Y266" s="4" t="n">
        <v>46356</v>
      </c>
      <c r="Z266" s="6" t="n"/>
      <c r="AA266" s="6" t="n"/>
      <c r="AB266" s="3" t="inlineStr">
        <is>
          <t>EN PROCESO</t>
        </is>
      </c>
      <c r="AD266" s="3" t="inlineStr">
        <is>
          <t>Proyectos Ops / Seguridad / Mantenimiento</t>
        </is>
      </c>
      <c r="AE266" s="3" t="inlineStr">
        <is>
          <t>INGRESAR SC MARIANNE</t>
        </is>
      </c>
      <c r="AI266" s="3" t="inlineStr">
        <is>
          <t>PROY1348</t>
        </is>
      </c>
      <c r="AJ266" s="3" t="inlineStr">
        <is>
          <t>UTP_Proyecto de reductores de velocidad en los estacionamientos (incluye elaboración del diseño y ejecución)</t>
        </is>
      </c>
      <c r="AM266" s="3" t="inlineStr">
        <is>
          <t>Consultar con Raul</t>
        </is>
      </c>
    </row>
    <row r="267">
      <c r="A267" s="3" t="n">
        <v>260</v>
      </c>
      <c r="B267" s="3" t="inlineStr">
        <is>
          <t>SSGG_160</t>
        </is>
      </c>
      <c r="C267" s="3" t="inlineStr">
        <is>
          <t>SSGG</t>
        </is>
      </c>
      <c r="D267" s="3" t="inlineStr">
        <is>
          <t xml:space="preserve">Eloy Pocohuanca / Alberto Fajardo Corpancho / Elmer Raul ILLANES PAUCAR </t>
        </is>
      </c>
      <c r="F267" s="3" t="inlineStr">
        <is>
          <t>epocohuanc@utp,edu,pe / jfajardo@utp,edu,pe / eillanes@utp,edu,pe</t>
        </is>
      </c>
      <c r="G267" s="3" t="inlineStr">
        <is>
          <t>937 029 622 / 960 961 878 / 994 690 404</t>
        </is>
      </c>
      <c r="H267" s="3" t="inlineStr">
        <is>
          <t>Proyecto de reductores de velocidad en los estacionamientos (incluye elaboración del diseño y ejecución)</t>
        </is>
      </c>
      <c r="Q267" s="3" t="inlineStr">
        <is>
          <t>SI</t>
        </is>
      </c>
      <c r="R267" s="3" t="inlineStr">
        <is>
          <t>UTP Tacna</t>
        </is>
      </c>
      <c r="S267" s="3" t="n">
        <v>70200101</v>
      </c>
      <c r="T267" s="3" t="inlineStr">
        <is>
          <t>UTP AV, BILLINGHURTS 800 - TACNA</t>
        </is>
      </c>
      <c r="U267" s="3" t="n">
        <v>16000</v>
      </c>
      <c r="W267" s="3" t="inlineStr">
        <is>
          <t>A</t>
        </is>
      </c>
      <c r="X267" s="4" t="n">
        <v>46174</v>
      </c>
      <c r="Y267" s="4" t="n">
        <v>46356</v>
      </c>
      <c r="Z267" s="6" t="n"/>
      <c r="AA267" s="6" t="n"/>
      <c r="AB267" s="3" t="inlineStr">
        <is>
          <t>EN PROCESO</t>
        </is>
      </c>
      <c r="AD267" s="3" t="inlineStr">
        <is>
          <t>Proyectos Ops / Seguridad / Mantenimiento</t>
        </is>
      </c>
      <c r="AE267" s="3" t="inlineStr">
        <is>
          <t>INGRESAR SC MARIANNE</t>
        </is>
      </c>
      <c r="AI267" s="3" t="inlineStr">
        <is>
          <t>PROY1349</t>
        </is>
      </c>
      <c r="AJ267" s="3" t="inlineStr">
        <is>
          <t>UTP_Proyecto de reductores de velocidad en los estacionamientos (incluye elaboración del diseño y ejecución)</t>
        </is>
      </c>
      <c r="AM267" s="3" t="inlineStr">
        <is>
          <t>Consultar con Raul</t>
        </is>
      </c>
    </row>
    <row r="268">
      <c r="A268" s="3" t="n">
        <v>261</v>
      </c>
      <c r="B268" s="3" t="inlineStr">
        <is>
          <t>SSGG_161</t>
        </is>
      </c>
      <c r="C268" s="3" t="inlineStr">
        <is>
          <t>SSGG</t>
        </is>
      </c>
      <c r="D268" s="3" t="inlineStr">
        <is>
          <t xml:space="preserve">Eloy Pocohuanca / Alberto Fajardo Corpancho / Elmer Raul ILLANES PAUCAR </t>
        </is>
      </c>
      <c r="F268" s="3" t="inlineStr">
        <is>
          <t>epocohuanc@utp,edu,pe / jfajardo@utp,edu,pe / eillanes@utp,edu,pe</t>
        </is>
      </c>
      <c r="G268" s="3" t="inlineStr">
        <is>
          <t>937 029 622 / 960 961 878 / 994 690 404</t>
        </is>
      </c>
      <c r="H268" s="3" t="inlineStr">
        <is>
          <t>Proyecto de reductores de velocidad en los estacionamientos (incluye elaboración del diseño y ejecución) Arequipa Parra 1</t>
        </is>
      </c>
      <c r="Q268" s="3" t="inlineStr">
        <is>
          <t>SI</t>
        </is>
      </c>
      <c r="R268" s="3" t="inlineStr">
        <is>
          <t>UTP Arequipa</t>
        </is>
      </c>
      <c r="S268" s="3" t="n">
        <v>70110103</v>
      </c>
      <c r="T268" s="3" t="inlineStr">
        <is>
          <t>UTP PARRA 201-203 -  AREQUIPA</t>
        </is>
      </c>
      <c r="U268" s="3" t="n">
        <v>16000</v>
      </c>
      <c r="W268" s="3" t="inlineStr">
        <is>
          <t>A</t>
        </is>
      </c>
      <c r="X268" s="4" t="n">
        <v>46174</v>
      </c>
      <c r="Y268" s="4" t="n">
        <v>46356</v>
      </c>
      <c r="Z268" s="6" t="n"/>
      <c r="AA268" s="6" t="n"/>
      <c r="AB268" s="3" t="inlineStr">
        <is>
          <t>EN PROCESO</t>
        </is>
      </c>
      <c r="AD268" s="3" t="inlineStr">
        <is>
          <t>Proyectos Ops / Seguridad / Mantenimiento</t>
        </is>
      </c>
      <c r="AE268" s="3" t="inlineStr">
        <is>
          <t>INGRESAR SC MARIANNE</t>
        </is>
      </c>
      <c r="AI268" s="3" t="inlineStr">
        <is>
          <t>PROY1339</t>
        </is>
      </c>
      <c r="AJ268" s="3" t="inlineStr">
        <is>
          <t>UTP_Proyecto de reductores de velocidad en los estacionamientos (incluye elaboración del diseño y ejecución)</t>
        </is>
      </c>
      <c r="AM268" s="3" t="inlineStr">
        <is>
          <t>Consultar con Raul</t>
        </is>
      </c>
    </row>
    <row r="269">
      <c r="A269" s="3" t="n">
        <v>262</v>
      </c>
      <c r="B269" s="3" t="inlineStr">
        <is>
          <t>SSGG_162</t>
        </is>
      </c>
      <c r="C269" s="3" t="inlineStr">
        <is>
          <t>SSGG</t>
        </is>
      </c>
      <c r="D269" s="3" t="inlineStr">
        <is>
          <t xml:space="preserve">Eloy Pocohuanca / Alberto Fajardo Corpancho / Elmer Raul ILLANES PAUCAR </t>
        </is>
      </c>
      <c r="F269" s="3" t="inlineStr">
        <is>
          <t>epocohuanc@utp,edu,pe / jfajardo@utp,edu,pe / eillanes@utp,edu,pe</t>
        </is>
      </c>
      <c r="G269" s="3" t="inlineStr">
        <is>
          <t>937 029 622 / 960 961 878 / 994 690 404</t>
        </is>
      </c>
      <c r="H269" s="3" t="inlineStr">
        <is>
          <t>Proyecto de reductores de velocidad en los estacionamientos (incluye elaboración del diseño y ejecución) Arequipa Parra 2</t>
        </is>
      </c>
      <c r="Q269" s="3" t="inlineStr">
        <is>
          <t>SI</t>
        </is>
      </c>
      <c r="R269" s="3" t="inlineStr">
        <is>
          <t>UTP Arequipa</t>
        </is>
      </c>
      <c r="S269" s="3" t="n">
        <v>70110107</v>
      </c>
      <c r="T269" s="3" t="inlineStr">
        <is>
          <t>UTP PARRA WASHINGT 217-219 AREQUIPA</t>
        </is>
      </c>
      <c r="U269" s="3" t="n">
        <v>16000</v>
      </c>
      <c r="W269" s="3" t="inlineStr">
        <is>
          <t>A</t>
        </is>
      </c>
      <c r="X269" s="4" t="n">
        <v>46174</v>
      </c>
      <c r="Y269" s="4" t="n">
        <v>46339</v>
      </c>
      <c r="Z269" s="6" t="n"/>
      <c r="AA269" s="6" t="n"/>
      <c r="AB269" s="3" t="inlineStr">
        <is>
          <t>EN PROCESO</t>
        </is>
      </c>
      <c r="AD269" s="3" t="inlineStr">
        <is>
          <t>Proyectos Ops / Seguridad / Mantenimiento</t>
        </is>
      </c>
      <c r="AE269" s="3" t="inlineStr">
        <is>
          <t>SC-0000129989-2026</t>
        </is>
      </c>
      <c r="AF269" s="7" t="n">
        <v>46168</v>
      </c>
      <c r="AI269" s="3" t="inlineStr">
        <is>
          <t>PROY1340</t>
        </is>
      </c>
      <c r="AJ269" s="3" t="inlineStr">
        <is>
          <t>UTP_Proyecto de reductores de velocidad en los estacionamientos (incluye elaboración del diseño y ejecución)</t>
        </is>
      </c>
      <c r="AM269" s="3" t="inlineStr">
        <is>
          <t>Consultar con Raul</t>
        </is>
      </c>
    </row>
    <row r="270">
      <c r="A270" s="3" t="n">
        <v>263</v>
      </c>
      <c r="B270" s="3" t="inlineStr">
        <is>
          <t>SSGG_163</t>
        </is>
      </c>
      <c r="C270" s="3" t="inlineStr">
        <is>
          <t>SSGG</t>
        </is>
      </c>
      <c r="D270" s="3" t="inlineStr">
        <is>
          <t xml:space="preserve">Eloy Pocohuanca / Alberto Fajardo Corpancho / Elmer Raul ILLANES PAUCAR </t>
        </is>
      </c>
      <c r="F270" s="3" t="inlineStr">
        <is>
          <t>epocohuanc@utp,edu,pe / jfajardo@utp,edu,pe / eillanes@utp,edu,pe</t>
        </is>
      </c>
      <c r="G270" s="3" t="inlineStr">
        <is>
          <t>937 029 622 / 960 961 878 / 994 690 404</t>
        </is>
      </c>
      <c r="H270" s="3" t="inlineStr">
        <is>
          <t>Proyecto de reductores de velocidad en los estacionamientos (incluye elaboración del diseño y ejecución) Arequipa TyA</t>
        </is>
      </c>
      <c r="Q270" s="3" t="inlineStr">
        <is>
          <t>SI</t>
        </is>
      </c>
      <c r="R270" s="3" t="inlineStr">
        <is>
          <t>UTP Arequipa</t>
        </is>
      </c>
      <c r="S270" s="3" t="n">
        <v>70110101</v>
      </c>
      <c r="T270" s="3" t="inlineStr">
        <is>
          <t>UTP TACNA-ARICA 158-160-162 - AREQUIPA</t>
        </is>
      </c>
      <c r="U270" s="3" t="n">
        <v>16000</v>
      </c>
      <c r="W270" s="3" t="inlineStr">
        <is>
          <t>A</t>
        </is>
      </c>
      <c r="X270" s="4" t="n">
        <v>46174</v>
      </c>
      <c r="Y270" s="4" t="n">
        <v>46356</v>
      </c>
      <c r="Z270" s="6" t="n"/>
      <c r="AA270" s="6" t="n"/>
      <c r="AB270" s="3" t="inlineStr">
        <is>
          <t>EN PROCESO</t>
        </is>
      </c>
      <c r="AD270" s="3" t="inlineStr">
        <is>
          <t>Proyectos Ops / Seguridad / Mantenimiento</t>
        </is>
      </c>
      <c r="AE270" s="3" t="inlineStr">
        <is>
          <t>INGRESAR SC MARIANNE</t>
        </is>
      </c>
      <c r="AI270" s="3" t="inlineStr">
        <is>
          <t>PROY1338</t>
        </is>
      </c>
      <c r="AJ270" s="3" t="inlineStr">
        <is>
          <t>UTP_Proyecto de reductores de velocidad en los estacionamientos (incluye elaboración del diseño y ejecución)</t>
        </is>
      </c>
      <c r="AM270" s="3" t="inlineStr">
        <is>
          <t>Consultar con Raul</t>
        </is>
      </c>
    </row>
    <row r="271">
      <c r="A271" s="3" t="n">
        <v>264</v>
      </c>
      <c r="B271" s="3" t="inlineStr">
        <is>
          <t>SSGG_164</t>
        </is>
      </c>
      <c r="C271" s="3" t="inlineStr">
        <is>
          <t>SSGG</t>
        </is>
      </c>
      <c r="D271" s="3" t="inlineStr">
        <is>
          <t xml:space="preserve">Eloy Pocohuanca / Alberto Fajardo Corpancho / Elmer Raul ILLANES PAUCAR </t>
        </is>
      </c>
      <c r="F271" s="3" t="inlineStr">
        <is>
          <t>epocohuanc@utp,edu,pe / jfajardo@utp,edu,pe / eillanes@utp,edu,pe</t>
        </is>
      </c>
      <c r="G271" s="3" t="inlineStr">
        <is>
          <t>937 029 622 / 960 961 878 / 994 690 404</t>
        </is>
      </c>
      <c r="H271" s="3" t="inlineStr">
        <is>
          <t>Proyecto de reductores de velocidad en los estacionamientos (incluye elaboración del diseño y ejecución) LC TTA</t>
        </is>
      </c>
      <c r="Q271" s="3" t="inlineStr">
        <is>
          <t>SI</t>
        </is>
      </c>
      <c r="R271" s="3" t="inlineStr">
        <is>
          <t>UTP Lima Centro</t>
        </is>
      </c>
      <c r="S271" s="3" t="n">
        <v>10110205</v>
      </c>
      <c r="T271" s="3" t="inlineStr">
        <is>
          <t>UTP AV, AREQUIPA 265-279 - LIMA</t>
        </is>
      </c>
      <c r="U271" s="3" t="n">
        <v>16000</v>
      </c>
      <c r="W271" s="3" t="inlineStr">
        <is>
          <t>A</t>
        </is>
      </c>
      <c r="X271" s="4" t="n">
        <v>46174</v>
      </c>
      <c r="Y271" s="4" t="n">
        <v>46339</v>
      </c>
      <c r="Z271" s="6" t="n"/>
      <c r="AA271" s="6" t="n"/>
      <c r="AB271" s="3" t="inlineStr">
        <is>
          <t>EN PROCESO</t>
        </is>
      </c>
      <c r="AD271" s="3" t="inlineStr">
        <is>
          <t>Proyectos Ops / Seguridad / Mantenimiento</t>
        </is>
      </c>
      <c r="AE271" s="3" t="inlineStr">
        <is>
          <t>SC-0000129989-2026</t>
        </is>
      </c>
      <c r="AF271" s="7" t="n">
        <v>46168</v>
      </c>
      <c r="AI271" s="3" t="inlineStr">
        <is>
          <t>PROY1333</t>
        </is>
      </c>
      <c r="AJ271" s="3" t="inlineStr">
        <is>
          <t>UTP_Proyecto de reductores de velocidad en los estacionamientos (incluye elaboración del diseño y ejecución)</t>
        </is>
      </c>
      <c r="AM271" s="3" t="inlineStr">
        <is>
          <t>Consultar con Raul</t>
        </is>
      </c>
    </row>
    <row r="272">
      <c r="A272" s="3" t="n">
        <v>265</v>
      </c>
      <c r="B272" s="3" t="inlineStr">
        <is>
          <t>SSGG_165</t>
        </is>
      </c>
      <c r="C272" s="3" t="inlineStr">
        <is>
          <t>SSGG</t>
        </is>
      </c>
      <c r="D272" s="3" t="inlineStr">
        <is>
          <t xml:space="preserve">Eloy Pocohuanca / Alberto Fajardo Corpancho / Elmer Raul ILLANES PAUCAR </t>
        </is>
      </c>
      <c r="F272" s="3" t="inlineStr">
        <is>
          <t>epocohuanc@utp,edu,pe / jfajardo@utp,edu,pe / eillanes@utp,edu,pe</t>
        </is>
      </c>
      <c r="G272" s="3" t="inlineStr">
        <is>
          <t>937 029 622 / 960 961 878 / 994 690 404</t>
        </is>
      </c>
      <c r="H272" s="3" t="inlineStr">
        <is>
          <t>Proyecto de reductores de velocidad en los estacionamientos (incluye elaboración del diseño y ejecución) Pacífico</t>
        </is>
      </c>
      <c r="Q272" s="3" t="inlineStr">
        <is>
          <t>SI</t>
        </is>
      </c>
      <c r="R272" s="3" t="inlineStr">
        <is>
          <t>UTP Lima Centro</t>
        </is>
      </c>
      <c r="S272" s="3" t="n">
        <v>10110102</v>
      </c>
      <c r="T272" s="3" t="inlineStr">
        <is>
          <t>UTP AREQUIPA 660- 670 - LIMA</t>
        </is>
      </c>
      <c r="U272" s="3" t="n">
        <v>16000</v>
      </c>
      <c r="W272" s="3" t="inlineStr">
        <is>
          <t>A</t>
        </is>
      </c>
      <c r="X272" s="4" t="n">
        <v>46174</v>
      </c>
      <c r="Y272" s="4" t="n">
        <v>46339</v>
      </c>
      <c r="Z272" s="6" t="n"/>
      <c r="AA272" s="6" t="n"/>
      <c r="AB272" s="3" t="inlineStr">
        <is>
          <t>EN PROCESO</t>
        </is>
      </c>
      <c r="AD272" s="3" t="inlineStr">
        <is>
          <t>Proyectos Ops / Seguridad / Mantenimiento</t>
        </is>
      </c>
      <c r="AE272" s="3" t="inlineStr">
        <is>
          <t>SC-0000129989-2026</t>
        </is>
      </c>
      <c r="AF272" s="7" t="n">
        <v>46168</v>
      </c>
      <c r="AI272" s="3" t="inlineStr">
        <is>
          <t>PROY1335</t>
        </is>
      </c>
      <c r="AJ272" s="3" t="inlineStr">
        <is>
          <t>UTP_Proyecto de reductores de velocidad en los estacionamientos (incluye elaboración del diseño y ejecución)</t>
        </is>
      </c>
      <c r="AM272" s="3" t="inlineStr">
        <is>
          <t>Consultar con Raul</t>
        </is>
      </c>
    </row>
    <row r="273">
      <c r="A273" s="3" t="n">
        <v>266</v>
      </c>
      <c r="B273" s="3" t="inlineStr">
        <is>
          <t>SSGG_166</t>
        </is>
      </c>
      <c r="C273" s="3" t="inlineStr">
        <is>
          <t>SSGG</t>
        </is>
      </c>
      <c r="D273" s="3" t="inlineStr">
        <is>
          <t xml:space="preserve">Eloy Pocohuanca / Alberto Fajardo Corpancho / Elmer Raul ILLANES PAUCAR </t>
        </is>
      </c>
      <c r="F273" s="3" t="inlineStr">
        <is>
          <t>epocohuanc@utp,edu,pe / jfajardo@utp,edu,pe / eillanes@utp,edu,pe</t>
        </is>
      </c>
      <c r="G273" s="3" t="inlineStr">
        <is>
          <t>937 029 622 / 960 961 878 / 994 690 404</t>
        </is>
      </c>
      <c r="H273" s="3" t="inlineStr">
        <is>
          <t>Proyecto de reductores de velocidad en los estacionamientos (incluye elaboración del diseño y ejecución) Sede Central</t>
        </is>
      </c>
      <c r="Q273" s="3" t="inlineStr">
        <is>
          <t>SI</t>
        </is>
      </c>
      <c r="R273" s="3" t="inlineStr">
        <is>
          <t>UTP Lima Centro</t>
        </is>
      </c>
      <c r="S273" s="3" t="n">
        <v>10110201</v>
      </c>
      <c r="T273" s="3" t="inlineStr">
        <is>
          <t>UTP PETITTHOURS 116 -  LIMA</t>
        </is>
      </c>
      <c r="U273" s="3" t="n">
        <v>16000</v>
      </c>
      <c r="W273" s="3" t="inlineStr">
        <is>
          <t>A</t>
        </is>
      </c>
      <c r="X273" s="4" t="n">
        <v>46174</v>
      </c>
      <c r="Y273" s="4" t="n">
        <v>46356</v>
      </c>
      <c r="Z273" s="6" t="n"/>
      <c r="AA273" s="6" t="n"/>
      <c r="AB273" s="3" t="inlineStr">
        <is>
          <t>EN PROCESO</t>
        </is>
      </c>
      <c r="AD273" s="3" t="inlineStr">
        <is>
          <t>Proyectos Ops / Seguridad / Mantenimiento</t>
        </is>
      </c>
      <c r="AE273" s="3" t="inlineStr">
        <is>
          <t>INGRESAR SC MARIANNE</t>
        </is>
      </c>
      <c r="AI273" s="3" t="inlineStr">
        <is>
          <t>PROY1334</t>
        </is>
      </c>
      <c r="AJ273" s="3" t="inlineStr">
        <is>
          <t>UTP_Proyecto de reductores de velocidad en los estacionamientos (incluye elaboración del diseño y ejecución)</t>
        </is>
      </c>
      <c r="AM273" s="3" t="inlineStr">
        <is>
          <t>Consultar con Raul</t>
        </is>
      </c>
    </row>
    <row r="274">
      <c r="A274" s="3" t="n">
        <v>267</v>
      </c>
      <c r="B274" s="3" t="inlineStr">
        <is>
          <t>SSGG_167</t>
        </is>
      </c>
      <c r="C274" s="3" t="inlineStr">
        <is>
          <t>SSGG</t>
        </is>
      </c>
      <c r="D274" s="3" t="inlineStr">
        <is>
          <t xml:space="preserve">Eloy Pocohuanca / Alberto Fajardo Corpancho / Elmer Raul ILLANES PAUCAR </t>
        </is>
      </c>
      <c r="F274" s="3" t="inlineStr">
        <is>
          <t>epocohuanc@utp,edu,pe / jfajardo@utp,edu,pe / eillanes@utp,edu,pe</t>
        </is>
      </c>
      <c r="G274" s="3" t="inlineStr">
        <is>
          <t>937 029 622 / 960 961 878 / 994 690 404</t>
        </is>
      </c>
      <c r="H274" s="3" t="inlineStr">
        <is>
          <t>Proyecto de reductores de velocidad en los estacionamientos (incluye elaboración del diseño y ejecución) Torre II</t>
        </is>
      </c>
      <c r="Q274" s="3" t="inlineStr">
        <is>
          <t>SI</t>
        </is>
      </c>
      <c r="R274" s="3" t="inlineStr">
        <is>
          <t>UTP Lima Centro</t>
        </is>
      </c>
      <c r="S274" s="3" t="n">
        <v>10110204</v>
      </c>
      <c r="T274" s="3" t="inlineStr">
        <is>
          <t>UTP PETIT THOU383-385-TORRE II - LIMA</t>
        </is>
      </c>
      <c r="U274" s="3" t="n">
        <v>16000</v>
      </c>
      <c r="W274" s="3" t="inlineStr">
        <is>
          <t>A</t>
        </is>
      </c>
      <c r="X274" s="4" t="n">
        <v>46174</v>
      </c>
      <c r="Y274" s="4" t="n">
        <v>46339</v>
      </c>
      <c r="Z274" s="6" t="n"/>
      <c r="AA274" s="6" t="n"/>
      <c r="AB274" s="3" t="inlineStr">
        <is>
          <t>EN PROCESO</t>
        </is>
      </c>
      <c r="AD274" s="3" t="inlineStr">
        <is>
          <t>Proyectos Ops / Seguridad / Mantenimiento</t>
        </is>
      </c>
      <c r="AE274" s="3" t="inlineStr">
        <is>
          <t>SC-0000129989-2026</t>
        </is>
      </c>
      <c r="AF274" s="7" t="n">
        <v>46168</v>
      </c>
      <c r="AI274" s="3" t="inlineStr">
        <is>
          <t>PROY1332</t>
        </is>
      </c>
      <c r="AJ274" s="3" t="inlineStr">
        <is>
          <t>UTP_Proyecto de reductores de velocidad en los estacionamientos (incluye elaboración del diseño y ejecución)</t>
        </is>
      </c>
      <c r="AM274" s="3" t="inlineStr">
        <is>
          <t>Pendiente Raul Illanes</t>
        </is>
      </c>
    </row>
    <row r="275">
      <c r="A275" s="3" t="n">
        <v>268</v>
      </c>
      <c r="B275" s="3" t="inlineStr">
        <is>
          <t>SSGG_168</t>
        </is>
      </c>
      <c r="C275" s="3" t="inlineStr">
        <is>
          <t>SSGG</t>
        </is>
      </c>
      <c r="D275" s="3" t="inlineStr">
        <is>
          <t>Eloy Pocohuanca</t>
        </is>
      </c>
      <c r="F275" s="3" t="inlineStr">
        <is>
          <t>epocohuanc@utp,edu,pe</t>
        </is>
      </c>
      <c r="G275" s="3" t="inlineStr">
        <is>
          <t>937 029 622</t>
        </is>
      </c>
      <c r="H275" s="3" t="inlineStr">
        <is>
          <t>Proyectos de estandarización de ambientes de Vida Universitaria/Dojo</t>
        </is>
      </c>
      <c r="Q275" s="3" t="inlineStr">
        <is>
          <t>SI</t>
        </is>
      </c>
      <c r="R275" s="3" t="inlineStr">
        <is>
          <t>UTP Lima Norte</t>
        </is>
      </c>
      <c r="S275" s="3" t="n">
        <v>10220111</v>
      </c>
      <c r="T275" s="3" t="inlineStr">
        <is>
          <t>UTP AV,INFANTAS MZ 2E LOTE 28, URB, STA LUISA - LOS OLIVOS</t>
        </is>
      </c>
      <c r="U275" s="3" t="n">
        <v>21000</v>
      </c>
      <c r="W275" s="3" t="inlineStr">
        <is>
          <t>B</t>
        </is>
      </c>
      <c r="X275" s="6" t="n"/>
      <c r="Y275" s="6" t="n"/>
      <c r="Z275" s="6" t="n"/>
      <c r="AA275" s="6" t="n"/>
      <c r="AB275" s="3" t="inlineStr">
        <is>
          <t>CANCELADO</t>
        </is>
      </c>
      <c r="AD275" s="3" t="inlineStr">
        <is>
          <t>Proyectos Ops</t>
        </is>
      </c>
      <c r="AI275" s="3" t="inlineStr">
        <is>
          <t>AM000984</t>
        </is>
      </c>
      <c r="AJ275" s="3" t="inlineStr">
        <is>
          <t>UTP_Proyectos de estandarización de ambientes de Vida Universitaria/Dojo_Lima Norte</t>
        </is>
      </c>
      <c r="AM275" s="3" t="inlineStr">
        <is>
          <t>En proceso con Jossi</t>
        </is>
      </c>
    </row>
    <row r="276">
      <c r="A276" s="3" t="n">
        <v>270</v>
      </c>
      <c r="B276" s="3" t="inlineStr">
        <is>
          <t>SSGG_169</t>
        </is>
      </c>
      <c r="C276" s="3" t="inlineStr">
        <is>
          <t>SSGG</t>
        </is>
      </c>
      <c r="D276" s="3" t="inlineStr">
        <is>
          <t>Eloy Pocohuanca</t>
        </is>
      </c>
      <c r="F276" s="3" t="inlineStr">
        <is>
          <t>epocohuanc@utp,edu,pe</t>
        </is>
      </c>
      <c r="G276" s="3" t="inlineStr">
        <is>
          <t>937 029 622</t>
        </is>
      </c>
      <c r="H276" s="3" t="inlineStr">
        <is>
          <t>Proyectos de estandarización de ambientes de Vida Universitaria/Dojo</t>
        </is>
      </c>
      <c r="Q276" s="3" t="inlineStr">
        <is>
          <t>SI</t>
        </is>
      </c>
      <c r="R276" s="3" t="inlineStr">
        <is>
          <t>UTP Lima Sur</t>
        </is>
      </c>
      <c r="S276" s="3" t="n">
        <v>10220106</v>
      </c>
      <c r="T276" s="3" t="inlineStr">
        <is>
          <t>UTP EL TRIUNFO S/N-VILLA SALVA - LIMA</t>
        </is>
      </c>
      <c r="U276" s="3" t="inlineStr">
        <is>
          <t xml:space="preserve">                    -  </t>
        </is>
      </c>
      <c r="W276" s="3" t="inlineStr">
        <is>
          <t>B</t>
        </is>
      </c>
      <c r="X276" s="6" t="n"/>
      <c r="Y276" s="6" t="n"/>
      <c r="Z276" s="6" t="n"/>
      <c r="AA276" s="6" t="n"/>
      <c r="AB276" s="3" t="inlineStr">
        <is>
          <t>CANCELADO</t>
        </is>
      </c>
      <c r="AD276" s="3" t="inlineStr">
        <is>
          <t>Proyectos Ops</t>
        </is>
      </c>
      <c r="AI276" s="3" t="inlineStr">
        <is>
          <t>AM000985</t>
        </is>
      </c>
      <c r="AJ276" s="3" t="inlineStr">
        <is>
          <t>UTP_Proyectos de estandarización de ambientes de Vida Universitaria/Dojo_Lima Sur</t>
        </is>
      </c>
      <c r="AM276" s="3" t="inlineStr">
        <is>
          <t>En proceso con Jossi</t>
        </is>
      </c>
    </row>
    <row r="277">
      <c r="A277" s="3" t="n">
        <v>271</v>
      </c>
      <c r="B277" s="3" t="inlineStr">
        <is>
          <t>SSGG_170</t>
        </is>
      </c>
      <c r="C277" s="3" t="inlineStr">
        <is>
          <t>SSGG</t>
        </is>
      </c>
      <c r="D277" s="3" t="inlineStr">
        <is>
          <t>Eloy Pocohuanca</t>
        </is>
      </c>
      <c r="F277" s="3" t="inlineStr">
        <is>
          <t>epocohuanc@utp,edu,pe</t>
        </is>
      </c>
      <c r="G277" s="3" t="inlineStr">
        <is>
          <t>937 029 622</t>
        </is>
      </c>
      <c r="H277" s="3" t="inlineStr">
        <is>
          <t>Proyectos de estandarización de ambientes de Vida Universitaria/Dojo</t>
        </is>
      </c>
      <c r="Q277" s="3" t="inlineStr">
        <is>
          <t>SI</t>
        </is>
      </c>
      <c r="R277" s="3" t="inlineStr">
        <is>
          <t>UTP Lima Este</t>
        </is>
      </c>
      <c r="S277" s="3" t="n">
        <v>10220108</v>
      </c>
      <c r="T277" s="3" t="inlineStr">
        <is>
          <t>UTP N,AYLLON KM11,60 LOTE 96ATE -LIMA</t>
        </is>
      </c>
      <c r="U277" s="3" t="n">
        <v>21000</v>
      </c>
      <c r="W277" s="3" t="inlineStr">
        <is>
          <t>B</t>
        </is>
      </c>
      <c r="X277" s="6" t="n"/>
      <c r="Y277" s="6" t="n"/>
      <c r="Z277" s="6" t="n"/>
      <c r="AA277" s="6" t="n"/>
      <c r="AB277" s="3" t="inlineStr">
        <is>
          <t>CANCELADO</t>
        </is>
      </c>
      <c r="AD277" s="3" t="inlineStr">
        <is>
          <t>Proyectos Ops</t>
        </is>
      </c>
      <c r="AI277" s="3" t="inlineStr">
        <is>
          <t>AM000986</t>
        </is>
      </c>
      <c r="AJ277" s="3" t="inlineStr">
        <is>
          <t>UTP_Proyectos de estandarización de ambientes de Vida Universitaria/Dojo_Lima Este</t>
        </is>
      </c>
      <c r="AM277" s="3" t="inlineStr">
        <is>
          <t>En proceso con Jossi</t>
        </is>
      </c>
    </row>
    <row r="278">
      <c r="A278" s="3" t="n">
        <v>272</v>
      </c>
      <c r="B278" s="3" t="inlineStr">
        <is>
          <t>SSGG_171</t>
        </is>
      </c>
      <c r="C278" s="3" t="inlineStr">
        <is>
          <t>SSGG</t>
        </is>
      </c>
      <c r="D278" s="3" t="inlineStr">
        <is>
          <t>Eloy Pocohuanca</t>
        </is>
      </c>
      <c r="F278" s="3" t="inlineStr">
        <is>
          <t>epocohuanc@utp,edu,pe</t>
        </is>
      </c>
      <c r="G278" s="3" t="inlineStr">
        <is>
          <t>937 029 622</t>
        </is>
      </c>
      <c r="H278" s="3" t="inlineStr">
        <is>
          <t>Proyectos de estandarización de ambientes de Vida Universitaria/Dojo</t>
        </is>
      </c>
      <c r="Q278" s="3" t="inlineStr">
        <is>
          <t>SI</t>
        </is>
      </c>
      <c r="R278" s="3" t="inlineStr">
        <is>
          <t>UTP Chimbote</t>
        </is>
      </c>
      <c r="S278" s="3" t="n">
        <v>70150101</v>
      </c>
      <c r="T278" s="3" t="inlineStr">
        <is>
          <t>UTP PASERO DEL MAR MZ C9- LT2 - CHIMBOTE</t>
        </is>
      </c>
      <c r="U278" s="3" t="n">
        <v>21000</v>
      </c>
      <c r="W278" s="3" t="inlineStr">
        <is>
          <t>B</t>
        </is>
      </c>
      <c r="X278" s="6" t="n"/>
      <c r="Y278" s="6" t="n"/>
      <c r="Z278" s="6" t="n"/>
      <c r="AA278" s="6" t="n"/>
      <c r="AB278" s="3" t="inlineStr">
        <is>
          <t>CANCELADO</t>
        </is>
      </c>
      <c r="AD278" s="3" t="inlineStr">
        <is>
          <t>Proyectos Ops</t>
        </is>
      </c>
      <c r="AI278" s="3" t="inlineStr">
        <is>
          <t>AM000988</t>
        </is>
      </c>
      <c r="AJ278" s="3" t="inlineStr">
        <is>
          <t>UTP_Proyectos de estandarización de ambientes de Vida Universitaria/Dojo_Chimbote</t>
        </is>
      </c>
      <c r="AM278" s="3" t="inlineStr">
        <is>
          <t>En proceso con Jossi</t>
        </is>
      </c>
    </row>
    <row r="279">
      <c r="A279" s="3" t="n">
        <v>273</v>
      </c>
      <c r="B279" s="3" t="inlineStr">
        <is>
          <t>SSGG_172</t>
        </is>
      </c>
      <c r="C279" s="3" t="inlineStr">
        <is>
          <t>SSGG</t>
        </is>
      </c>
      <c r="D279" s="3" t="inlineStr">
        <is>
          <t>Eloy Pocohuanca</t>
        </is>
      </c>
      <c r="F279" s="3" t="inlineStr">
        <is>
          <t>epocohuanc@utp,edu,pe</t>
        </is>
      </c>
      <c r="G279" s="3" t="inlineStr">
        <is>
          <t>937 029 622</t>
        </is>
      </c>
      <c r="H279" s="3" t="inlineStr">
        <is>
          <t>Proyectos de estandarización de ambientes de Vida Universitaria/Dojo</t>
        </is>
      </c>
      <c r="Q279" s="3" t="inlineStr">
        <is>
          <t>SI</t>
        </is>
      </c>
      <c r="R279" s="3" t="inlineStr">
        <is>
          <t>UTP Piura</t>
        </is>
      </c>
      <c r="S279" s="3" t="n">
        <v>70170101</v>
      </c>
      <c r="T279" s="3" t="inlineStr">
        <is>
          <t>UTP AV,PANAMERICANA 234 -PIURA</t>
        </is>
      </c>
      <c r="U279" s="3" t="n">
        <v>21000</v>
      </c>
      <c r="W279" s="3" t="inlineStr">
        <is>
          <t>B</t>
        </is>
      </c>
      <c r="X279" s="6" t="n"/>
      <c r="Y279" s="6" t="n"/>
      <c r="Z279" s="6" t="n"/>
      <c r="AA279" s="6" t="n"/>
      <c r="AB279" s="3" t="inlineStr">
        <is>
          <t>CANCELADO</t>
        </is>
      </c>
      <c r="AD279" s="3" t="inlineStr">
        <is>
          <t>Proyectos Ops</t>
        </is>
      </c>
      <c r="AI279" s="3" t="inlineStr">
        <is>
          <t>AM000989</t>
        </is>
      </c>
      <c r="AJ279" s="3" t="inlineStr">
        <is>
          <t>UTP_Proyectos de estandarización de ambientes de Vida Universitaria/Dojo_Piura</t>
        </is>
      </c>
      <c r="AM279" s="3" t="inlineStr">
        <is>
          <t>En proceso con Jossi</t>
        </is>
      </c>
    </row>
    <row r="280">
      <c r="A280" s="3" t="n">
        <v>274</v>
      </c>
      <c r="B280" s="3" t="inlineStr">
        <is>
          <t>SSGG_173</t>
        </is>
      </c>
      <c r="C280" s="3" t="inlineStr">
        <is>
          <t>SSGG</t>
        </is>
      </c>
      <c r="D280" s="3" t="inlineStr">
        <is>
          <t>Eloy Pocohuanca</t>
        </is>
      </c>
      <c r="F280" s="3" t="inlineStr">
        <is>
          <t>epocohuanc@utp,edu,pe</t>
        </is>
      </c>
      <c r="G280" s="3" t="inlineStr">
        <is>
          <t>937 029 622</t>
        </is>
      </c>
      <c r="H280" s="3" t="inlineStr">
        <is>
          <t>Proyectos de estandarización de ambientes de Vida Universitaria/Dojo</t>
        </is>
      </c>
      <c r="Q280" s="3" t="inlineStr">
        <is>
          <t>SI</t>
        </is>
      </c>
      <c r="R280" s="3" t="inlineStr">
        <is>
          <t>UTP Huancayo</t>
        </is>
      </c>
      <c r="S280" s="3" t="n">
        <v>70190101</v>
      </c>
      <c r="T280" s="3" t="inlineStr">
        <is>
          <t>UTP AV,CIRCUNVALACIÓN 449 - HUANCAYO</t>
        </is>
      </c>
      <c r="U280" s="3" t="n">
        <v>21000</v>
      </c>
      <c r="W280" s="3" t="inlineStr">
        <is>
          <t>B</t>
        </is>
      </c>
      <c r="X280" s="6" t="n"/>
      <c r="Y280" s="6" t="n"/>
      <c r="Z280" s="6" t="n"/>
      <c r="AA280" s="6" t="n"/>
      <c r="AB280" s="3" t="inlineStr">
        <is>
          <t>CANCELADO</t>
        </is>
      </c>
      <c r="AD280" s="3" t="inlineStr">
        <is>
          <t>Proyectos Ops</t>
        </is>
      </c>
      <c r="AI280" s="3" t="inlineStr">
        <is>
          <t>AM000990</t>
        </is>
      </c>
      <c r="AJ280" s="3" t="inlineStr">
        <is>
          <t>UTP_Proyectos de estandarización de ambientes de Vida Universitaria/Dojo_Huancayo</t>
        </is>
      </c>
      <c r="AM280" s="3" t="inlineStr">
        <is>
          <t>En proceso con Jossi</t>
        </is>
      </c>
    </row>
    <row r="281">
      <c r="A281" s="3" t="n">
        <v>275</v>
      </c>
      <c r="B281" s="3" t="inlineStr">
        <is>
          <t>SSGG_174</t>
        </is>
      </c>
      <c r="C281" s="3" t="inlineStr">
        <is>
          <t>SSGG</t>
        </is>
      </c>
      <c r="D281" s="3" t="inlineStr">
        <is>
          <t>Eloy Pocohuanca</t>
        </is>
      </c>
      <c r="F281" s="3" t="inlineStr">
        <is>
          <t>epocohuanc@utp,edu,pe</t>
        </is>
      </c>
      <c r="G281" s="3" t="inlineStr">
        <is>
          <t>937 029 622</t>
        </is>
      </c>
      <c r="H281" s="3" t="inlineStr">
        <is>
          <t>Proyectos de estandarización de ambientes de Vida Universitaria/Dojo</t>
        </is>
      </c>
      <c r="Q281" s="3" t="inlineStr">
        <is>
          <t>SI</t>
        </is>
      </c>
      <c r="R281" s="3" t="inlineStr">
        <is>
          <t>UTP Trujillo</t>
        </is>
      </c>
      <c r="S281" s="3" t="n">
        <v>70180103</v>
      </c>
      <c r="T281" s="3" t="inlineStr">
        <is>
          <t>UTP NICOLAS PIEROLA - TRUJILLO</t>
        </is>
      </c>
      <c r="U281" s="3" t="n">
        <v>21000</v>
      </c>
      <c r="W281" s="3" t="inlineStr">
        <is>
          <t>B</t>
        </is>
      </c>
      <c r="X281" s="6" t="n"/>
      <c r="Y281" s="6" t="n"/>
      <c r="Z281" s="6" t="n"/>
      <c r="AA281" s="6" t="n"/>
      <c r="AB281" s="3" t="inlineStr">
        <is>
          <t>CANCELADO</t>
        </is>
      </c>
      <c r="AD281" s="3" t="inlineStr">
        <is>
          <t>Proyectos Ops</t>
        </is>
      </c>
      <c r="AI281" s="3" t="inlineStr">
        <is>
          <t>AM000991</t>
        </is>
      </c>
      <c r="AJ281" s="3" t="inlineStr">
        <is>
          <t>UTP_Proyectos de estandarización de ambientes de Vida Universitaria/Dojo_Trujillo</t>
        </is>
      </c>
      <c r="AM281" s="3" t="inlineStr">
        <is>
          <t>En proceso con Jossi</t>
        </is>
      </c>
    </row>
    <row r="282">
      <c r="A282" s="3" t="n">
        <v>276</v>
      </c>
      <c r="B282" s="3" t="inlineStr">
        <is>
          <t>SSGG_175</t>
        </is>
      </c>
      <c r="C282" s="3" t="inlineStr">
        <is>
          <t>SSGG</t>
        </is>
      </c>
      <c r="D282" s="3" t="inlineStr">
        <is>
          <t>Eloy Pocohuanca</t>
        </is>
      </c>
      <c r="F282" s="3" t="inlineStr">
        <is>
          <t>epocohuanc@utp,edu,pe</t>
        </is>
      </c>
      <c r="G282" s="3" t="inlineStr">
        <is>
          <t>937 029 622</t>
        </is>
      </c>
      <c r="H282" s="3" t="inlineStr">
        <is>
          <t>Proyectos de estandarización de ambientes de Vida Universitaria/Dojo Arequipa Quiroz</t>
        </is>
      </c>
      <c r="Q282" s="3" t="inlineStr">
        <is>
          <t>SI</t>
        </is>
      </c>
      <c r="R282" s="3" t="inlineStr">
        <is>
          <t>UTP Arequipa</t>
        </is>
      </c>
      <c r="S282" s="3" t="n">
        <v>70110101</v>
      </c>
      <c r="T282" s="3" t="inlineStr">
        <is>
          <t>UTP TACNA-ARICA 158-160-162 - AREQUIPA</t>
        </is>
      </c>
      <c r="U282" s="3" t="n">
        <v>21000</v>
      </c>
      <c r="W282" s="3" t="inlineStr">
        <is>
          <t>B</t>
        </is>
      </c>
      <c r="X282" s="6" t="n"/>
      <c r="Y282" s="6" t="n"/>
      <c r="Z282" s="6" t="n"/>
      <c r="AA282" s="6" t="n"/>
      <c r="AB282" s="3" t="inlineStr">
        <is>
          <t>CANCELADO</t>
        </is>
      </c>
      <c r="AD282" s="3" t="inlineStr">
        <is>
          <t>Proyectos Ops</t>
        </is>
      </c>
      <c r="AI282" s="3" t="inlineStr">
        <is>
          <t>AM000987</t>
        </is>
      </c>
      <c r="AJ282" s="3" t="inlineStr">
        <is>
          <t>UTP_Proyectos de estandarización de ambientes de Vida Universitaria/Dojo_Arequipa Quiroz</t>
        </is>
      </c>
      <c r="AM282" s="3" t="inlineStr">
        <is>
          <t>En proceso con Jossi</t>
        </is>
      </c>
    </row>
    <row r="283">
      <c r="A283" s="3" t="n">
        <v>277</v>
      </c>
      <c r="B283" s="3" t="inlineStr">
        <is>
          <t>SSGG_176</t>
        </is>
      </c>
      <c r="C283" s="3" t="inlineStr">
        <is>
          <t>SSGG</t>
        </is>
      </c>
      <c r="D283" s="3" t="inlineStr">
        <is>
          <t>Eloy Pocohuanca</t>
        </is>
      </c>
      <c r="F283" s="3" t="inlineStr">
        <is>
          <t>epocohuanc@utp,edu,pe</t>
        </is>
      </c>
      <c r="G283" s="3" t="inlineStr">
        <is>
          <t>937 029 622</t>
        </is>
      </c>
      <c r="H283" s="3" t="inlineStr">
        <is>
          <t>Proyectos de estandarización de ambientes de Vida Universitaria/Dojo Casa de la Cultura</t>
        </is>
      </c>
      <c r="Q283" s="3" t="inlineStr">
        <is>
          <t>SI</t>
        </is>
      </c>
      <c r="R283" s="3" t="inlineStr">
        <is>
          <t>UTP Lima Centro</t>
        </is>
      </c>
      <c r="S283" s="3" t="n">
        <v>10110104</v>
      </c>
      <c r="T283" s="3" t="inlineStr">
        <is>
          <t>UTP AREQUIPA 986-990 - LIMA</t>
        </is>
      </c>
      <c r="U283" s="3" t="n">
        <v>21000</v>
      </c>
      <c r="W283" s="3" t="inlineStr">
        <is>
          <t>B</t>
        </is>
      </c>
      <c r="X283" s="6" t="n"/>
      <c r="Y283" s="6" t="n"/>
      <c r="Z283" s="6" t="n"/>
      <c r="AA283" s="6" t="n"/>
      <c r="AB283" s="3" t="inlineStr">
        <is>
          <t>CANCELADO</t>
        </is>
      </c>
      <c r="AD283" s="3" t="inlineStr">
        <is>
          <t>Proyectos Ops</t>
        </is>
      </c>
      <c r="AI283" s="3" t="inlineStr">
        <is>
          <t>AM000983</t>
        </is>
      </c>
      <c r="AJ283" s="3" t="inlineStr">
        <is>
          <t>UTP_Proyectos de estandarización de ambientes de Vida Universitaria/Dojo_LC Casa de la Cultura</t>
        </is>
      </c>
      <c r="AM283" s="3" t="inlineStr">
        <is>
          <t>Pendiente evaluar si se cancela</t>
        </is>
      </c>
    </row>
    <row r="284">
      <c r="A284" s="3" t="n">
        <v>278</v>
      </c>
      <c r="B284" s="3" t="inlineStr">
        <is>
          <t>SSGG_177</t>
        </is>
      </c>
      <c r="C284" s="3" t="inlineStr">
        <is>
          <t>SSGG</t>
        </is>
      </c>
      <c r="D284" s="3" t="inlineStr">
        <is>
          <t>Eloy Pocohuanca</t>
        </is>
      </c>
      <c r="F284" s="3" t="inlineStr">
        <is>
          <t>epocohuanc@utp,edu,pe</t>
        </is>
      </c>
      <c r="G284" s="3" t="inlineStr">
        <is>
          <t>937 029 622</t>
        </is>
      </c>
      <c r="H284" s="3" t="inlineStr">
        <is>
          <t>Proyectos de estandarización de ambientes de Vida Universitaria/Dojo Torre II</t>
        </is>
      </c>
      <c r="Q284" s="3" t="inlineStr">
        <is>
          <t>SI</t>
        </is>
      </c>
      <c r="R284" s="3" t="inlineStr">
        <is>
          <t>UTP Lima Centro</t>
        </is>
      </c>
      <c r="S284" s="3" t="n">
        <v>10110204</v>
      </c>
      <c r="T284" s="3" t="inlineStr">
        <is>
          <t>UTP PETIT THOU383-385-TORRE II - LIMA</t>
        </is>
      </c>
      <c r="U284" s="3" t="n">
        <v>21000</v>
      </c>
      <c r="W284" s="3" t="inlineStr">
        <is>
          <t>B</t>
        </is>
      </c>
      <c r="X284" s="6" t="n"/>
      <c r="Y284" s="6" t="n"/>
      <c r="Z284" s="6" t="n"/>
      <c r="AA284" s="6" t="n"/>
      <c r="AB284" s="3" t="inlineStr">
        <is>
          <t>CANCELADO</t>
        </is>
      </c>
      <c r="AD284" s="3" t="inlineStr">
        <is>
          <t>Proyectos Ops</t>
        </is>
      </c>
      <c r="AI284" s="3" t="inlineStr">
        <is>
          <t>AM000982</t>
        </is>
      </c>
      <c r="AJ284" s="3" t="inlineStr">
        <is>
          <t>UTP_Proyectos de estandarización de ambientes de Vida Universitaria/Dojo_LC Torre II</t>
        </is>
      </c>
      <c r="AM284" s="3" t="inlineStr">
        <is>
          <t xml:space="preserve">Pendiente por definir </t>
        </is>
      </c>
    </row>
    <row r="285">
      <c r="A285" s="3" t="n">
        <v>279</v>
      </c>
      <c r="B285" s="3" t="inlineStr">
        <is>
          <t>SSGG_178</t>
        </is>
      </c>
      <c r="C285" s="3" t="inlineStr">
        <is>
          <t>SSGG</t>
        </is>
      </c>
      <c r="D285" s="3" t="inlineStr">
        <is>
          <t>Luis García</t>
        </is>
      </c>
      <c r="H285" s="3" t="inlineStr">
        <is>
          <t>Reemplazo del techo de policarbonato en la terraza 2 azotea ingreso principal e ingreso vehicular</t>
        </is>
      </c>
      <c r="Q285" s="3" t="inlineStr">
        <is>
          <t>SI</t>
        </is>
      </c>
      <c r="R285" s="3" t="inlineStr">
        <is>
          <t>Corporativo - Natalio</t>
        </is>
      </c>
      <c r="S285" s="3" t="n">
        <v>10110101</v>
      </c>
      <c r="T285" s="3" t="inlineStr">
        <is>
          <t>UTP NATALIO SANCHEZ 125 -  LIMA</t>
        </is>
      </c>
      <c r="U285" s="3" t="n">
        <v>20000</v>
      </c>
      <c r="W285" s="3" t="inlineStr">
        <is>
          <t>B</t>
        </is>
      </c>
      <c r="X285" s="4" t="n">
        <v>46174</v>
      </c>
      <c r="Y285" s="4" t="n">
        <v>46315</v>
      </c>
      <c r="Z285" s="6" t="n"/>
      <c r="AA285" s="6" t="n"/>
      <c r="AB285" s="3" t="inlineStr">
        <is>
          <t>PENDIENTE</t>
        </is>
      </c>
      <c r="AD285" s="3" t="inlineStr">
        <is>
          <t>Mantenimiento</t>
        </is>
      </c>
      <c r="AI285" s="3" t="inlineStr">
        <is>
          <t>PROY1350</t>
        </is>
      </c>
      <c r="AJ285" s="3" t="inlineStr">
        <is>
          <t>UTP_Reemplazo del techo de policarbonato en la terraza 2 azotea ingreso principal e ingreso vehicular</t>
        </is>
      </c>
      <c r="AM285" s="3" t="inlineStr">
        <is>
          <t>falta alcance tecnico</t>
        </is>
      </c>
    </row>
    <row r="286">
      <c r="A286" s="3" t="n">
        <v>280</v>
      </c>
      <c r="B286" s="3" t="inlineStr">
        <is>
          <t>SSGG_179</t>
        </is>
      </c>
      <c r="C286" s="3" t="inlineStr">
        <is>
          <t>SSGG</t>
        </is>
      </c>
      <c r="D286" s="3" t="inlineStr">
        <is>
          <t>Eloy Pocohuanca/Luis García</t>
        </is>
      </c>
      <c r="F286" s="3" t="inlineStr">
        <is>
          <t>epocohuanc@utp,edu,pe</t>
        </is>
      </c>
      <c r="G286" s="3" t="inlineStr">
        <is>
          <t>937 029 622</t>
        </is>
      </c>
      <c r="H286" s="3" t="inlineStr">
        <is>
          <t>Remodelación del comedor administrativo y balcón en el piso 14</t>
        </is>
      </c>
      <c r="Q286" s="3" t="inlineStr">
        <is>
          <t>SI</t>
        </is>
      </c>
      <c r="R286" s="3" t="inlineStr">
        <is>
          <t>Corporativo - Natalio</t>
        </is>
      </c>
      <c r="S286" s="3" t="n">
        <v>10110101</v>
      </c>
      <c r="T286" s="3" t="inlineStr">
        <is>
          <t>UTP NATALIO SANCHEZ 125 -  LIMA</t>
        </is>
      </c>
      <c r="U286" s="3" t="n">
        <v>40000</v>
      </c>
      <c r="W286" s="3" t="inlineStr">
        <is>
          <t>B</t>
        </is>
      </c>
      <c r="X286" s="4" t="n">
        <v>46174</v>
      </c>
      <c r="Y286" s="4" t="n">
        <v>46315</v>
      </c>
      <c r="Z286" s="6" t="n"/>
      <c r="AA286" s="6" t="n"/>
      <c r="AB286" s="3" t="inlineStr">
        <is>
          <t>PENDIENTE</t>
        </is>
      </c>
      <c r="AD286" s="3" t="inlineStr">
        <is>
          <t>Proyectos Ops</t>
        </is>
      </c>
      <c r="AI286" s="3" t="inlineStr">
        <is>
          <t>PROY1351</t>
        </is>
      </c>
      <c r="AJ286" s="3" t="inlineStr">
        <is>
          <t>UTP_Remodelación del comedor administrativo y balcón en el piso 14</t>
        </is>
      </c>
      <c r="AM286" s="3" t="inlineStr">
        <is>
          <t>Con Josy</t>
        </is>
      </c>
    </row>
    <row r="287">
      <c r="A287" s="3" t="n">
        <v>281</v>
      </c>
      <c r="B287" s="3" t="inlineStr">
        <is>
          <t>SSGG_180</t>
        </is>
      </c>
      <c r="C287" s="3" t="inlineStr">
        <is>
          <t>SSGG</t>
        </is>
      </c>
      <c r="D287" s="3" t="inlineStr">
        <is>
          <t xml:space="preserve">Elmer Raul ILLANES PAUCAR </t>
        </is>
      </c>
      <c r="F287" s="3" t="inlineStr">
        <is>
          <t>eillanes@utp,edu,pe</t>
        </is>
      </c>
      <c r="G287" s="3" t="inlineStr">
        <is>
          <t>994 690 404</t>
        </is>
      </c>
      <c r="H287" s="3" t="inlineStr">
        <is>
          <t>Respaldar la energia del SAE y el CAD desde el TABLERO DE TRANSFERENCIA LC TTA</t>
        </is>
      </c>
      <c r="Q287" s="3" t="inlineStr">
        <is>
          <t>SI</t>
        </is>
      </c>
      <c r="R287" s="3" t="inlineStr">
        <is>
          <t>UTP Lima Centro</t>
        </is>
      </c>
      <c r="S287" s="3" t="n">
        <v>10110205</v>
      </c>
      <c r="T287" s="3" t="inlineStr">
        <is>
          <t>UTP AV, AREQUIPA 265-279 - LIMA</t>
        </is>
      </c>
      <c r="U287" s="3" t="n">
        <v>25000</v>
      </c>
      <c r="V287" s="3" t="n">
        <v>20854.4</v>
      </c>
      <c r="W287" s="3" t="inlineStr">
        <is>
          <t>A</t>
        </is>
      </c>
      <c r="X287" s="4" t="n">
        <v>46082</v>
      </c>
      <c r="Y287" s="4" t="n">
        <v>46125</v>
      </c>
      <c r="Z287" s="4" t="n">
        <v>46082</v>
      </c>
      <c r="AA287" s="4" t="n">
        <v>46138</v>
      </c>
      <c r="AB287" s="3" t="inlineStr">
        <is>
          <t>EJECUTADO</t>
        </is>
      </c>
      <c r="AC287" s="3" t="inlineStr">
        <is>
          <t>PENDIENTE</t>
        </is>
      </c>
      <c r="AD287" s="3" t="inlineStr">
        <is>
          <t>Mantenimiento</t>
        </is>
      </c>
      <c r="AE287" s="3" t="inlineStr">
        <is>
          <t>SC-0000117000-2026</t>
        </is>
      </c>
      <c r="AF287" s="7" t="n">
        <v>46064</v>
      </c>
      <c r="AG287" s="3" t="inlineStr">
        <is>
          <t>OC-0000123393-2026</t>
        </is>
      </c>
      <c r="AH287" s="7" t="n">
        <v>46092</v>
      </c>
      <c r="AI287" s="3" t="inlineStr">
        <is>
          <t>PROY1352</t>
        </is>
      </c>
      <c r="AJ287" s="3" t="inlineStr">
        <is>
          <t>UTP_Respaldar la energia del SAE y el CAD desde el TABLERO DE TRANSFERENCIA</t>
        </is>
      </c>
      <c r="AM287" s="3" t="inlineStr">
        <is>
          <t>FALTA ENVIAR NR / SC registrada por Maria Gonzales</t>
        </is>
      </c>
    </row>
    <row r="288">
      <c r="A288" s="3" t="n">
        <v>282</v>
      </c>
      <c r="B288" s="3" t="inlineStr">
        <is>
          <t>SSGG_181</t>
        </is>
      </c>
      <c r="C288" s="3" t="inlineStr">
        <is>
          <t>SSGG</t>
        </is>
      </c>
      <c r="D288" s="3" t="inlineStr">
        <is>
          <t xml:space="preserve">VICENTE CAYETANO RODRIGUEZ PASTOR </t>
        </is>
      </c>
      <c r="F288" s="3" t="inlineStr">
        <is>
          <t>vrodriguep@utp,edu,pe</t>
        </is>
      </c>
      <c r="G288" s="3" t="inlineStr">
        <is>
          <t>955 141 444</t>
        </is>
      </c>
      <c r="H288" s="3" t="inlineStr">
        <is>
          <t>Cambio de tuberías Torre Tecnológica Arequipa</t>
        </is>
      </c>
      <c r="Q288" s="3" t="inlineStr">
        <is>
          <t>SI</t>
        </is>
      </c>
      <c r="R288" s="3" t="inlineStr">
        <is>
          <t>UTP Lima Centro</t>
        </is>
      </c>
      <c r="S288" s="3" t="n">
        <v>10110205</v>
      </c>
      <c r="T288" s="3" t="inlineStr">
        <is>
          <t>UTP AV, AREQUIPA 265-279 - LIMA</t>
        </is>
      </c>
      <c r="U288" s="3" t="n">
        <v>102000</v>
      </c>
      <c r="V288" s="3" t="n">
        <v>102000</v>
      </c>
      <c r="W288" s="3" t="inlineStr">
        <is>
          <t>A</t>
        </is>
      </c>
      <c r="X288" s="4" t="n">
        <v>46235</v>
      </c>
      <c r="Y288" s="4" t="n">
        <v>46264</v>
      </c>
      <c r="Z288" s="6" t="n"/>
      <c r="AA288" s="6" t="n"/>
      <c r="AB288" s="3" t="inlineStr">
        <is>
          <t>EJECUTADO</t>
        </is>
      </c>
      <c r="AD288" s="3" t="inlineStr">
        <is>
          <t>Mantenimiento</t>
        </is>
      </c>
      <c r="AI288" s="3" t="inlineStr">
        <is>
          <t>PROY1425</t>
        </is>
      </c>
      <c r="AJ288" s="3" t="inlineStr">
        <is>
          <t>UTP_Av  Arequipa 265_Renovación red de agua</t>
        </is>
      </c>
      <c r="AM288" s="3" t="inlineStr">
        <is>
          <t>Gestionar la creación de proyecto</t>
        </is>
      </c>
    </row>
    <row r="289">
      <c r="A289" s="3" t="n">
        <v>283</v>
      </c>
      <c r="B289" s="3" t="inlineStr">
        <is>
          <t>SSGG_182</t>
        </is>
      </c>
      <c r="C289" s="3" t="inlineStr">
        <is>
          <t>SSGG</t>
        </is>
      </c>
      <c r="D289" s="3" t="inlineStr">
        <is>
          <t xml:space="preserve">Elmer Raul ILLANES PAUCAR </t>
        </is>
      </c>
      <c r="F289" s="3" t="inlineStr">
        <is>
          <t>eillanes@utp,edu,pe</t>
        </is>
      </c>
      <c r="G289" s="3" t="inlineStr">
        <is>
          <t>994 690 404</t>
        </is>
      </c>
      <c r="H289" s="3" t="inlineStr">
        <is>
          <t>Respaldar la energia del SAE y el CAD desde el TABLERO DE TRANSFERENCIA Torre II</t>
        </is>
      </c>
      <c r="Q289" s="3" t="inlineStr">
        <is>
          <t>SI</t>
        </is>
      </c>
      <c r="R289" s="3" t="inlineStr">
        <is>
          <t>UTP Lima Centro</t>
        </is>
      </c>
      <c r="S289" s="3" t="n">
        <v>10110204</v>
      </c>
      <c r="T289" s="3" t="inlineStr">
        <is>
          <t>UTP PETIT THOU383-385-TORRE II - LIMA</t>
        </is>
      </c>
      <c r="U289" s="3" t="n">
        <v>25000</v>
      </c>
      <c r="V289" s="3" t="n">
        <v>38699.1856</v>
      </c>
      <c r="W289" s="3" t="inlineStr">
        <is>
          <t>A</t>
        </is>
      </c>
      <c r="X289" s="4" t="n">
        <v>46143</v>
      </c>
      <c r="Y289" s="4" t="n">
        <v>46265</v>
      </c>
      <c r="Z289" s="6" t="n"/>
      <c r="AA289" s="6" t="n"/>
      <c r="AB289" s="3" t="inlineStr">
        <is>
          <t>EJECUTADO</t>
        </is>
      </c>
      <c r="AD289" s="3" t="inlineStr">
        <is>
          <t>Mantenimiento</t>
        </is>
      </c>
      <c r="AE289" s="3" t="inlineStr">
        <is>
          <t>SC-0000118066-2026</t>
        </is>
      </c>
      <c r="AF289" s="7" t="n">
        <v>46076</v>
      </c>
      <c r="AG289" s="3" t="inlineStr">
        <is>
          <t>OC-0000139833-2026</t>
        </is>
      </c>
      <c r="AH289" s="7" t="n">
        <v>46218</v>
      </c>
      <c r="AI289" s="3" t="inlineStr">
        <is>
          <t>PROY1353</t>
        </is>
      </c>
      <c r="AJ289" s="3" t="inlineStr">
        <is>
          <t>UTP_Respaldar la energia del SAE y el CAD desde el TABLERO DE TRANSFERENCIA</t>
        </is>
      </c>
      <c r="AM289" s="3" t="inlineStr">
        <is>
          <t>Pendiente Raul Illanes</t>
        </is>
      </c>
    </row>
    <row r="290">
      <c r="A290" s="3" t="n">
        <v>284</v>
      </c>
      <c r="B290" s="3" t="inlineStr">
        <is>
          <t>SSGG_183</t>
        </is>
      </c>
      <c r="C290" s="3" t="inlineStr">
        <is>
          <t>SSGG</t>
        </is>
      </c>
      <c r="D290" s="3" t="inlineStr">
        <is>
          <t xml:space="preserve">VICENTE CAYETANO RODRIGUEZ PASTOR </t>
        </is>
      </c>
      <c r="H290" s="3" t="inlineStr">
        <is>
          <t>Drenajes de Lima Sur, que generan muchos atoros</t>
        </is>
      </c>
      <c r="Q290" s="3" t="inlineStr">
        <is>
          <t>SI</t>
        </is>
      </c>
      <c r="R290" s="3" t="inlineStr">
        <is>
          <t>UTP Lima Sur</t>
        </is>
      </c>
      <c r="S290" s="3" t="n">
        <v>10220106</v>
      </c>
      <c r="T290" s="3" t="inlineStr">
        <is>
          <t>UTP EL TRIUNFO S/N-VILLA SALVA - LIMA</t>
        </is>
      </c>
      <c r="U290" s="3" t="n">
        <v>53000</v>
      </c>
      <c r="W290" s="3" t="inlineStr">
        <is>
          <t>A</t>
        </is>
      </c>
      <c r="X290" s="4" t="n">
        <v>46204</v>
      </c>
      <c r="Y290" s="4" t="n">
        <v>46325</v>
      </c>
      <c r="Z290" s="6" t="n"/>
      <c r="AA290" s="6" t="n"/>
      <c r="AB290" s="3" t="inlineStr">
        <is>
          <t>EN PROCESO</t>
        </is>
      </c>
      <c r="AD290" s="3" t="inlineStr">
        <is>
          <t>Mantenimiento</t>
        </is>
      </c>
      <c r="AI290" s="3" t="inlineStr">
        <is>
          <t>MEJ00276</t>
        </is>
      </c>
      <c r="AJ290" s="3" t="inlineStr">
        <is>
          <t>UTP_LS_Drenajes_Lima Sur</t>
        </is>
      </c>
      <c r="AM290" s="3" t="inlineStr">
        <is>
          <t>NUEVA INICIATIVA A SOLICITUD DE ELIDA</t>
        </is>
      </c>
    </row>
    <row r="291">
      <c r="B291" s="3" t="inlineStr">
        <is>
          <t>SSGG_184</t>
        </is>
      </c>
      <c r="C291" s="3" t="inlineStr">
        <is>
          <t>SSGG</t>
        </is>
      </c>
      <c r="D291" s="3" t="inlineStr">
        <is>
          <t xml:space="preserve">Alberto Fajardo Corpancho </t>
        </is>
      </c>
      <c r="F291" s="3" t="inlineStr">
        <is>
          <t>jfajardo@utp,edu,pe</t>
        </is>
      </c>
      <c r="G291" s="3" t="inlineStr">
        <is>
          <t>960 961 878</t>
        </is>
      </c>
      <c r="H291" s="3" t="inlineStr">
        <is>
          <t>Implementación de armario de respuesta a emergencias que cuenten con el equipamiento básico para la atención de emergencias, SJL 2</t>
        </is>
      </c>
      <c r="I291" s="3" t="inlineStr">
        <is>
          <t>Implementación de armario de respuesta a emergencias que cuenten con el equipamiento básico para la atención de emergencias</t>
        </is>
      </c>
      <c r="J291" s="3" t="inlineStr">
        <is>
          <t>Implementación de armario de respuesta a emergencias que cuenten con el equipamiento básico para la atención de emergencias</t>
        </is>
      </c>
      <c r="K291" s="3" t="inlineStr">
        <is>
          <t>Implementación de armario de respuesta a emergencias que cuenten con el equipamiento básico para la atención de emergencias</t>
        </is>
      </c>
      <c r="L291" s="3" t="inlineStr">
        <is>
          <t>Implementación de armario de respuesta a emergencias que cuenten con el equipamiento básico para la atención de emergencias</t>
        </is>
      </c>
      <c r="M291" s="3" t="inlineStr">
        <is>
          <t>Implementación de armario de respuesta a emergencias que cuenten con el equipamiento básico para la atención de emergencias</t>
        </is>
      </c>
      <c r="N291" s="3" t="inlineStr">
        <is>
          <t>Implementación de armario de respuesta a emergencias que cuenten con el equipamiento básico para la atención de emergencias</t>
        </is>
      </c>
      <c r="O291" s="3" t="inlineStr">
        <is>
          <t>Implementación de armario de respuesta a emergencias que cuenten con el equipamiento básico para la atención de emergencias</t>
        </is>
      </c>
      <c r="P291" s="3" t="inlineStr">
        <is>
          <t>Implementación de armario de respuesta a emergencias que cuenten con el equipamiento básico para la atención de emergencias</t>
        </is>
      </c>
      <c r="Q291" s="3" t="inlineStr">
        <is>
          <t>Implementación de armario de respuesta a emergencias que cuenten con el equipamiento básico para la atención de emergencias</t>
        </is>
      </c>
      <c r="R291" s="3" t="inlineStr">
        <is>
          <t>UTP SJL</t>
        </is>
      </c>
      <c r="S291" s="3" t="n">
        <v>10220105</v>
      </c>
      <c r="T291" s="3" t="inlineStr">
        <is>
          <t>UTP AV.EL SOL MZ.G LTE.14 SJL - LIMA</t>
        </is>
      </c>
      <c r="U291" s="3" t="n">
        <v>3292.2</v>
      </c>
      <c r="V291" s="3" t="n">
        <v>3292.2</v>
      </c>
      <c r="W291" s="3" t="inlineStr">
        <is>
          <t>A</t>
        </is>
      </c>
      <c r="X291" s="4" t="n">
        <v>46218</v>
      </c>
      <c r="Y291" s="4" t="n">
        <v>46264</v>
      </c>
      <c r="Z291" s="4" t="n">
        <v>46218</v>
      </c>
      <c r="AA291" s="6" t="n"/>
      <c r="AB291" s="3" t="inlineStr">
        <is>
          <t>EJECUTADO</t>
        </is>
      </c>
      <c r="AD291" s="3" t="inlineStr">
        <is>
          <t>Seguridad</t>
        </is>
      </c>
      <c r="AE291" s="3" t="inlineStr">
        <is>
          <t>SC-0000136582-2026</t>
        </is>
      </c>
      <c r="AF291" s="7" t="n">
        <v>46213</v>
      </c>
      <c r="AG291" s="3" t="inlineStr">
        <is>
          <t>OC-0000139412-2026</t>
        </is>
      </c>
      <c r="AH291" s="7" t="n">
        <v>46216</v>
      </c>
      <c r="AI291" s="3" t="inlineStr">
        <is>
          <t>AM001300</t>
        </is>
      </c>
      <c r="AJ291" s="3" t="inlineStr">
        <is>
          <t>UTP_El Sol Lt14 SJL_Impl. Armario</t>
        </is>
      </c>
      <c r="AL291" s="3" t="inlineStr">
        <is>
          <t>IMS CENTAUROS</t>
        </is>
      </c>
      <c r="AM291" s="3" t="inlineStr">
        <is>
          <t>Nueva iniciativa</t>
        </is>
      </c>
    </row>
    <row r="292">
      <c r="B292" s="3" t="inlineStr">
        <is>
          <t>SSGG_185</t>
        </is>
      </c>
      <c r="C292" s="3" t="inlineStr">
        <is>
          <t>SSGG</t>
        </is>
      </c>
      <c r="D292" s="3" t="inlineStr">
        <is>
          <t xml:space="preserve">Alberto Fajardo Corpancho </t>
        </is>
      </c>
      <c r="F292" s="3" t="inlineStr">
        <is>
          <t>jfajardo@utp,edu,pe</t>
        </is>
      </c>
      <c r="G292" s="3" t="inlineStr">
        <is>
          <t>960 961 878</t>
        </is>
      </c>
      <c r="H292" s="3" t="inlineStr">
        <is>
          <t>Implementación de armario de respuesta a emergencias que cuenten con el equipamiento básico para la atención de emergencias, Ate Salud</t>
        </is>
      </c>
      <c r="R292" s="3" t="inlineStr">
        <is>
          <t>UTP Lima Este</t>
        </is>
      </c>
      <c r="S292" s="3" t="n">
        <v>10220108</v>
      </c>
      <c r="T292" s="3" t="inlineStr">
        <is>
          <t>AV. N. AYLLON KM11.60 LOTE 96 ATE</t>
        </is>
      </c>
      <c r="U292" s="3" t="n">
        <v>3292.2</v>
      </c>
      <c r="V292" s="3" t="n">
        <v>3292.2</v>
      </c>
      <c r="W292" s="3" t="inlineStr">
        <is>
          <t>A</t>
        </is>
      </c>
      <c r="X292" s="4" t="n">
        <v>46218</v>
      </c>
      <c r="Y292" s="4" t="n">
        <v>46264</v>
      </c>
      <c r="Z292" s="4" t="n">
        <v>46218</v>
      </c>
      <c r="AA292" s="6" t="n"/>
      <c r="AB292" s="3" t="inlineStr">
        <is>
          <t>EJECUTADO</t>
        </is>
      </c>
      <c r="AD292" s="3" t="inlineStr">
        <is>
          <t>Seguridad</t>
        </is>
      </c>
      <c r="AE292" s="3" t="inlineStr">
        <is>
          <t>SC-0000136585-2026</t>
        </is>
      </c>
      <c r="AF292" s="7" t="n">
        <v>46213</v>
      </c>
      <c r="AG292" s="3" t="inlineStr">
        <is>
          <t>OC-0000139412-2026</t>
        </is>
      </c>
      <c r="AH292" s="7" t="n">
        <v>46216</v>
      </c>
      <c r="AI292" s="3" t="inlineStr">
        <is>
          <t>AM001301</t>
        </is>
      </c>
      <c r="AJ292" s="3" t="inlineStr">
        <is>
          <t>UTP_AYLLON KM11.60_Impl. Armario</t>
        </is>
      </c>
      <c r="AL292" s="3" t="inlineStr">
        <is>
          <t>IMS CENTAUROS</t>
        </is>
      </c>
    </row>
    <row r="293">
      <c r="B293" s="3" t="inlineStr">
        <is>
          <t>SSGG_186</t>
        </is>
      </c>
      <c r="C293" s="3" t="inlineStr">
        <is>
          <t>SSGG</t>
        </is>
      </c>
      <c r="D293" s="3" t="inlineStr">
        <is>
          <t xml:space="preserve">Alberto Fajardo Corpancho </t>
        </is>
      </c>
      <c r="F293" s="3" t="inlineStr">
        <is>
          <t>jfajardo@utp,edu,pe</t>
        </is>
      </c>
      <c r="G293" s="3" t="inlineStr">
        <is>
          <t>960 961 878</t>
        </is>
      </c>
      <c r="H293" s="3" t="inlineStr">
        <is>
          <t>Implementación de armario de respuesta a emergencias que cuenten con el equipamiento básico para la atención de emergencias, Sede Central</t>
        </is>
      </c>
      <c r="R293" s="3" t="inlineStr">
        <is>
          <t>UTP Lima Centro</t>
        </is>
      </c>
      <c r="S293" s="3" t="n">
        <v>10110201</v>
      </c>
      <c r="T293" s="3" t="inlineStr">
        <is>
          <t>UTP PETITTHOURS 116 -  LIMA</t>
        </is>
      </c>
      <c r="U293" s="3" t="n">
        <v>3292.2</v>
      </c>
      <c r="V293" s="3" t="n">
        <v>3292.2</v>
      </c>
      <c r="W293" s="3" t="inlineStr">
        <is>
          <t>A</t>
        </is>
      </c>
      <c r="X293" s="4" t="n">
        <v>46218</v>
      </c>
      <c r="Y293" s="4" t="n">
        <v>46264</v>
      </c>
      <c r="Z293" s="4" t="n">
        <v>46218</v>
      </c>
      <c r="AA293" s="6" t="n"/>
      <c r="AB293" s="3" t="inlineStr">
        <is>
          <t>EJECUTADO</t>
        </is>
      </c>
      <c r="AD293" s="3" t="inlineStr">
        <is>
          <t>Seguridad</t>
        </is>
      </c>
      <c r="AE293" s="3" t="inlineStr">
        <is>
          <t>SC-0000136588-2026</t>
        </is>
      </c>
      <c r="AF293" s="7" t="n">
        <v>46213</v>
      </c>
      <c r="AG293" s="3" t="inlineStr">
        <is>
          <t>OC-0000139412-2026</t>
        </is>
      </c>
      <c r="AH293" s="7" t="n">
        <v>46216</v>
      </c>
      <c r="AI293" s="3" t="inlineStr">
        <is>
          <t>AM001302</t>
        </is>
      </c>
      <c r="AJ293" s="3" t="inlineStr">
        <is>
          <t>UTP_PETITTHOURS 116_Impl. Armario</t>
        </is>
      </c>
      <c r="AL293" s="3" t="inlineStr">
        <is>
          <t>IMS CENTAUROS</t>
        </is>
      </c>
    </row>
    <row r="294">
      <c r="B294" s="3" t="inlineStr">
        <is>
          <t>SSGG_187</t>
        </is>
      </c>
      <c r="C294" s="3" t="inlineStr">
        <is>
          <t>SSGG</t>
        </is>
      </c>
      <c r="D294" s="3" t="inlineStr">
        <is>
          <t xml:space="preserve">Alberto Fajardo Corpancho </t>
        </is>
      </c>
      <c r="F294" s="3" t="inlineStr">
        <is>
          <t>jfajardo@utp,edu,pe</t>
        </is>
      </c>
      <c r="G294" s="3" t="inlineStr">
        <is>
          <t>960 961 878</t>
        </is>
      </c>
      <c r="H294" s="3" t="inlineStr">
        <is>
          <t>Implementación de armario de respuesta a emergencias que cuenten con el equipamiento básico para la atención de emergencias, Pacifico</t>
        </is>
      </c>
      <c r="R294" s="3" t="inlineStr">
        <is>
          <t>UTP Lima Centro</t>
        </is>
      </c>
      <c r="S294" s="3" t="n">
        <v>10110102</v>
      </c>
      <c r="T294" s="3" t="inlineStr">
        <is>
          <t xml:space="preserve">UTP AREQUIPA 660- 670 - LIMA </t>
        </is>
      </c>
      <c r="U294" s="3" t="n">
        <v>3292.2</v>
      </c>
      <c r="V294" s="3" t="n">
        <v>3292.2</v>
      </c>
      <c r="W294" s="3" t="inlineStr">
        <is>
          <t>A</t>
        </is>
      </c>
      <c r="X294" s="4" t="n">
        <v>46218</v>
      </c>
      <c r="Y294" s="4" t="n">
        <v>46264</v>
      </c>
      <c r="Z294" s="4" t="n">
        <v>46218</v>
      </c>
      <c r="AA294" s="6" t="n"/>
      <c r="AB294" s="3" t="inlineStr">
        <is>
          <t>EJECUTADO</t>
        </is>
      </c>
      <c r="AD294" s="3" t="inlineStr">
        <is>
          <t>Seguridad</t>
        </is>
      </c>
      <c r="AE294" s="3" t="inlineStr">
        <is>
          <t>SC-0000136589-2026</t>
        </is>
      </c>
      <c r="AF294" s="7" t="n">
        <v>46213</v>
      </c>
      <c r="AG294" s="3" t="inlineStr">
        <is>
          <t>OC-0000139412-2026</t>
        </is>
      </c>
      <c r="AH294" s="7" t="n">
        <v>46216</v>
      </c>
      <c r="AI294" s="3" t="inlineStr">
        <is>
          <t>AM001303</t>
        </is>
      </c>
      <c r="AJ294" s="3" t="inlineStr">
        <is>
          <t>UTP_AREQUIPA 660- 670_Impl. Armario</t>
        </is>
      </c>
      <c r="AL294" s="3" t="inlineStr">
        <is>
          <t>IMS CENTAUROS</t>
        </is>
      </c>
    </row>
    <row r="295">
      <c r="B295" s="3" t="inlineStr">
        <is>
          <t>SSGG_188</t>
        </is>
      </c>
      <c r="C295" s="3" t="inlineStr">
        <is>
          <t>SSGG</t>
        </is>
      </c>
      <c r="D295" s="3" t="inlineStr">
        <is>
          <t xml:space="preserve">Alberto Fajardo Corpancho </t>
        </is>
      </c>
      <c r="F295" s="3" t="inlineStr">
        <is>
          <t>jfajardo@utp,edu,pe</t>
        </is>
      </c>
      <c r="G295" s="3" t="inlineStr">
        <is>
          <t>960 961 878</t>
        </is>
      </c>
      <c r="H295" s="3" t="inlineStr">
        <is>
          <t>Implementación de armario de respuesta a emergencias que cuenten con el equipamiento básico para la atención de emergencias, Jarrita</t>
        </is>
      </c>
      <c r="R295" s="3" t="inlineStr">
        <is>
          <t>UTP Lima Centro</t>
        </is>
      </c>
      <c r="S295" s="3" t="n">
        <v>10110206</v>
      </c>
      <c r="T295" s="3" t="inlineStr">
        <is>
          <t>UTP PETIT THOURS 170-180-188-198 - LIMA</t>
        </is>
      </c>
      <c r="U295" s="3" t="n">
        <v>3292.2</v>
      </c>
      <c r="V295" s="3" t="n">
        <v>3292.2</v>
      </c>
      <c r="W295" s="3" t="inlineStr">
        <is>
          <t>A</t>
        </is>
      </c>
      <c r="X295" s="4" t="n">
        <v>46218</v>
      </c>
      <c r="Y295" s="4" t="n">
        <v>46264</v>
      </c>
      <c r="Z295" s="4" t="n">
        <v>46218</v>
      </c>
      <c r="AA295" s="6" t="n"/>
      <c r="AB295" s="3" t="inlineStr">
        <is>
          <t>EJECUTADO</t>
        </is>
      </c>
      <c r="AD295" s="3" t="inlineStr">
        <is>
          <t>Seguridad</t>
        </is>
      </c>
      <c r="AE295" s="3" t="inlineStr">
        <is>
          <t>SC-0000136590-2026</t>
        </is>
      </c>
      <c r="AF295" s="7" t="n">
        <v>46213</v>
      </c>
      <c r="AG295" s="3" t="inlineStr">
        <is>
          <t>OC-0000139412-2026</t>
        </is>
      </c>
      <c r="AH295" s="7" t="n">
        <v>46216</v>
      </c>
      <c r="AI295" s="3" t="inlineStr">
        <is>
          <t>AM001304</t>
        </is>
      </c>
      <c r="AJ295" s="3" t="inlineStr">
        <is>
          <t>UTP_PETIT THOURS 170-198_Impl. Armario</t>
        </is>
      </c>
      <c r="AL295" s="3" t="inlineStr">
        <is>
          <t>IMS CENTAUROS</t>
        </is>
      </c>
    </row>
    <row r="296">
      <c r="B296" s="3" t="inlineStr">
        <is>
          <t>SSGG_189</t>
        </is>
      </c>
      <c r="C296" s="3" t="inlineStr">
        <is>
          <t>SSGG</t>
        </is>
      </c>
      <c r="D296" s="3" t="inlineStr">
        <is>
          <t xml:space="preserve">Alberto Fajardo Corpancho </t>
        </is>
      </c>
      <c r="F296" s="3" t="inlineStr">
        <is>
          <t>jfajardo@utp,edu,pe</t>
        </is>
      </c>
      <c r="G296" s="3" t="inlineStr">
        <is>
          <t>960 961 878</t>
        </is>
      </c>
      <c r="H296" s="3" t="inlineStr">
        <is>
          <t>Implementación de armario de respuesta a emergencias que cuenten con el equipamiento básico para la atención de emergencias, Parra I</t>
        </is>
      </c>
      <c r="R296" s="3" t="inlineStr">
        <is>
          <t>UTP Arequipa</t>
        </is>
      </c>
      <c r="S296" s="3" t="n">
        <v>70110103</v>
      </c>
      <c r="T296" s="3" t="inlineStr">
        <is>
          <t>UTP PARRA 201-203 -  AREQUIPA</t>
        </is>
      </c>
      <c r="U296" s="3" t="n">
        <v>3292.2</v>
      </c>
      <c r="V296" s="3" t="n">
        <v>3292.2</v>
      </c>
      <c r="W296" s="3" t="inlineStr">
        <is>
          <t>A</t>
        </is>
      </c>
      <c r="X296" s="4" t="n">
        <v>46218</v>
      </c>
      <c r="Y296" s="4" t="n">
        <v>46264</v>
      </c>
      <c r="Z296" s="4" t="n">
        <v>46218</v>
      </c>
      <c r="AA296" s="6" t="n"/>
      <c r="AB296" s="3" t="inlineStr">
        <is>
          <t>EJECUTADO</t>
        </is>
      </c>
      <c r="AD296" s="3" t="inlineStr">
        <is>
          <t>Seguridad</t>
        </is>
      </c>
      <c r="AE296" s="3" t="inlineStr">
        <is>
          <t>SC-0000136592-2026</t>
        </is>
      </c>
      <c r="AF296" s="7" t="n">
        <v>46213</v>
      </c>
      <c r="AG296" s="3" t="inlineStr">
        <is>
          <t>OC-0000139412-2026</t>
        </is>
      </c>
      <c r="AH296" s="7" t="n">
        <v>46216</v>
      </c>
      <c r="AI296" s="3" t="inlineStr">
        <is>
          <t>AM001305</t>
        </is>
      </c>
      <c r="AJ296" s="3" t="inlineStr">
        <is>
          <t>UTP_PARRA 201-203_Impl. Armario</t>
        </is>
      </c>
      <c r="AL296" s="3" t="inlineStr">
        <is>
          <t>IMS CENTAUROS</t>
        </is>
      </c>
    </row>
    <row r="297">
      <c r="B297" s="3" t="inlineStr">
        <is>
          <t>SSGG_190</t>
        </is>
      </c>
      <c r="C297" s="3" t="inlineStr">
        <is>
          <t>SSGG</t>
        </is>
      </c>
      <c r="D297" s="3" t="inlineStr">
        <is>
          <t xml:space="preserve">Alberto Fajardo Corpancho </t>
        </is>
      </c>
      <c r="F297" s="3" t="inlineStr">
        <is>
          <t>jfajardo@utp,edu,pe</t>
        </is>
      </c>
      <c r="G297" s="3" t="inlineStr">
        <is>
          <t>960 961 878</t>
        </is>
      </c>
      <c r="H297" s="3" t="inlineStr">
        <is>
          <t>Implementación de armario de respuesta a emergencias que cuenten con el equipamiento básico para la atención de emergencias, Parra II</t>
        </is>
      </c>
      <c r="R297" s="3" t="inlineStr">
        <is>
          <t>UTP Arequipa</t>
        </is>
      </c>
      <c r="S297" s="3" t="n">
        <v>70110107</v>
      </c>
      <c r="T297" s="3" t="inlineStr">
        <is>
          <t>UTP PARRA WASHINGT 217-219 AREQUIPA</t>
        </is>
      </c>
      <c r="U297" s="3" t="n">
        <v>3292.2</v>
      </c>
      <c r="V297" s="3" t="n">
        <v>3292.2</v>
      </c>
      <c r="W297" s="3" t="inlineStr">
        <is>
          <t>A</t>
        </is>
      </c>
      <c r="X297" s="4" t="n">
        <v>46218</v>
      </c>
      <c r="Y297" s="4" t="n">
        <v>46264</v>
      </c>
      <c r="Z297" s="4" t="n">
        <v>46218</v>
      </c>
      <c r="AA297" s="6" t="n"/>
      <c r="AB297" s="3" t="inlineStr">
        <is>
          <t>EJECUTADO</t>
        </is>
      </c>
      <c r="AD297" s="3" t="inlineStr">
        <is>
          <t>Seguridad</t>
        </is>
      </c>
      <c r="AE297" s="3" t="inlineStr">
        <is>
          <t>SC-0000136593-2026</t>
        </is>
      </c>
      <c r="AF297" s="7" t="n">
        <v>46213</v>
      </c>
      <c r="AG297" s="3" t="inlineStr">
        <is>
          <t>OC-0000139412-2026</t>
        </is>
      </c>
      <c r="AH297" s="7" t="n">
        <v>46216</v>
      </c>
      <c r="AI297" s="3" t="inlineStr">
        <is>
          <t>AM001306</t>
        </is>
      </c>
      <c r="AJ297" s="3" t="inlineStr">
        <is>
          <t>UTP_PARRA WASHINGT 217-219_Impl. Armario</t>
        </is>
      </c>
      <c r="AL297" s="3" t="inlineStr">
        <is>
          <t>IMS CENTAUROS</t>
        </is>
      </c>
    </row>
    <row r="298">
      <c r="B298" s="3" t="inlineStr">
        <is>
          <t>SSGG_191</t>
        </is>
      </c>
      <c r="C298" s="3" t="inlineStr">
        <is>
          <t>SSGG</t>
        </is>
      </c>
      <c r="D298" s="3" t="inlineStr">
        <is>
          <t xml:space="preserve">Alberto Fajardo Corpancho </t>
        </is>
      </c>
      <c r="F298" s="3" t="inlineStr">
        <is>
          <t>jfajardo@utp,edu,pe</t>
        </is>
      </c>
      <c r="G298" s="3" t="inlineStr">
        <is>
          <t>960 961 878</t>
        </is>
      </c>
      <c r="H298" s="3" t="inlineStr">
        <is>
          <t>Implementación de armario de respuesta a emergencias que cuenten con el equipamiento básico para la atención de emergencias, Parra EPG</t>
        </is>
      </c>
      <c r="R298" s="3" t="inlineStr">
        <is>
          <t>UTP Arequipa</t>
        </is>
      </c>
      <c r="S298" s="3" t="n">
        <v>70110106</v>
      </c>
      <c r="T298" s="3" t="inlineStr">
        <is>
          <t>EPG PARRA WASHINGT 217-219 AREQUIPA</t>
        </is>
      </c>
      <c r="U298" s="3" t="n">
        <v>3292.2</v>
      </c>
      <c r="V298" s="3" t="n">
        <v>3292.2</v>
      </c>
      <c r="W298" s="3" t="inlineStr">
        <is>
          <t>A</t>
        </is>
      </c>
      <c r="X298" s="4" t="n">
        <v>46218</v>
      </c>
      <c r="Y298" s="4" t="n">
        <v>46264</v>
      </c>
      <c r="Z298" s="4" t="n">
        <v>46218</v>
      </c>
      <c r="AA298" s="6" t="n"/>
      <c r="AB298" s="3" t="inlineStr">
        <is>
          <t>EJECUTADO</t>
        </is>
      </c>
      <c r="AD298" s="3" t="inlineStr">
        <is>
          <t>Seguridad</t>
        </is>
      </c>
      <c r="AE298" s="3" t="inlineStr">
        <is>
          <t>SC-0000136594-2026</t>
        </is>
      </c>
      <c r="AF298" s="7" t="n">
        <v>46213</v>
      </c>
      <c r="AG298" s="3" t="inlineStr">
        <is>
          <t>OC-0000139412-2026</t>
        </is>
      </c>
      <c r="AH298" s="7" t="n">
        <v>46216</v>
      </c>
      <c r="AI298" s="3" t="inlineStr">
        <is>
          <t>AM001307</t>
        </is>
      </c>
      <c r="AJ298" s="3" t="inlineStr">
        <is>
          <t>UTP_EPG PARRA_Impl. Armario</t>
        </is>
      </c>
      <c r="AL298" s="3" t="inlineStr">
        <is>
          <t>IMS CENTAUROS</t>
        </is>
      </c>
    </row>
    <row r="299">
      <c r="B299" s="3" t="inlineStr">
        <is>
          <t>SSGG_192</t>
        </is>
      </c>
      <c r="C299" s="3" t="inlineStr">
        <is>
          <t>SSGG</t>
        </is>
      </c>
      <c r="D299" s="3" t="inlineStr">
        <is>
          <t xml:space="preserve">Alberto Fajardo Corpancho </t>
        </is>
      </c>
      <c r="H299" s="3" t="inlineStr">
        <is>
          <t>Implementación de armario de respuesta a emergencias que cuenten con el equipamiento básico para la atención de emergencias, Polideportivo</t>
        </is>
      </c>
      <c r="R299" s="3" t="inlineStr">
        <is>
          <t>UTP Arequipa</t>
        </is>
      </c>
      <c r="S299" s="3" t="n">
        <v>70110101</v>
      </c>
      <c r="T299" s="3" t="inlineStr">
        <is>
          <t>UTP_TACNA-ARICA 158-160-162</t>
        </is>
      </c>
      <c r="U299" s="3" t="n">
        <v>3292.2</v>
      </c>
      <c r="V299" s="3" t="n">
        <v>3292.2</v>
      </c>
      <c r="W299" s="3" t="inlineStr">
        <is>
          <t>A</t>
        </is>
      </c>
      <c r="X299" s="4" t="n">
        <v>46218</v>
      </c>
      <c r="Y299" s="4" t="n">
        <v>46264</v>
      </c>
      <c r="Z299" s="4" t="n">
        <v>46218</v>
      </c>
      <c r="AA299" s="6" t="n"/>
      <c r="AB299" s="3" t="inlineStr">
        <is>
          <t>EJECUTADO</t>
        </is>
      </c>
      <c r="AD299" s="3" t="inlineStr">
        <is>
          <t>Seguridad</t>
        </is>
      </c>
      <c r="AE299" s="3" t="inlineStr">
        <is>
          <t>SC-0000136595-2026</t>
        </is>
      </c>
      <c r="AF299" s="7" t="n">
        <v>46213</v>
      </c>
      <c r="AG299" s="3" t="inlineStr">
        <is>
          <t>OC-0000139412-2026</t>
        </is>
      </c>
      <c r="AH299" s="7" t="n">
        <v>46216</v>
      </c>
      <c r="AI299" s="3" t="inlineStr">
        <is>
          <t>AM001308</t>
        </is>
      </c>
      <c r="AJ299" s="3" t="inlineStr">
        <is>
          <t>UTP_TACNA-ARICA_Impl. Armario</t>
        </is>
      </c>
      <c r="AL299" s="3" t="inlineStr">
        <is>
          <t>IMS CENTAUROS</t>
        </is>
      </c>
    </row>
    <row r="300">
      <c r="B300" s="3" t="inlineStr">
        <is>
          <t>SSGG_193</t>
        </is>
      </c>
      <c r="C300" s="3" t="inlineStr">
        <is>
          <t>SSGG</t>
        </is>
      </c>
      <c r="D300" s="3" t="inlineStr">
        <is>
          <t xml:space="preserve">Alberto Fajardo Corpancho </t>
        </is>
      </c>
      <c r="H300" s="3" t="inlineStr">
        <is>
          <t>Implementación de armario de respuesta a emergencias que cuenten con el equipamiento básico para la atención de emergencias, EPG Salaverry</t>
        </is>
      </c>
      <c r="R300" s="3" t="inlineStr">
        <is>
          <t>UTP EPG Salaverry</t>
        </is>
      </c>
      <c r="S300" s="3" t="n">
        <v>10110501</v>
      </c>
      <c r="T300" s="3" t="inlineStr">
        <is>
          <t>EPG - AVENIDA SALAVERRY NUMERO 2449-2451-2445</t>
        </is>
      </c>
      <c r="U300" s="3" t="n">
        <v>3292.2</v>
      </c>
      <c r="V300" s="3" t="n">
        <v>3292.2</v>
      </c>
      <c r="W300" s="3" t="inlineStr">
        <is>
          <t>A</t>
        </is>
      </c>
      <c r="X300" s="4" t="n">
        <v>46218</v>
      </c>
      <c r="Y300" s="4" t="n">
        <v>46264</v>
      </c>
      <c r="Z300" s="4" t="n">
        <v>46218</v>
      </c>
      <c r="AA300" s="6" t="n"/>
      <c r="AB300" s="3" t="inlineStr">
        <is>
          <t>EJECUTADO</t>
        </is>
      </c>
      <c r="AD300" s="3" t="inlineStr">
        <is>
          <t>Seguridad</t>
        </is>
      </c>
      <c r="AE300" s="3" t="inlineStr">
        <is>
          <t>SC-0000136597-2026</t>
        </is>
      </c>
      <c r="AF300" s="7" t="n">
        <v>46213</v>
      </c>
      <c r="AG300" s="3" t="inlineStr">
        <is>
          <t>OC-0000139412-2026</t>
        </is>
      </c>
      <c r="AH300" s="7" t="n">
        <v>46216</v>
      </c>
      <c r="AI300" s="3" t="inlineStr">
        <is>
          <t>AM001309</t>
        </is>
      </c>
      <c r="AJ300" s="3" t="inlineStr">
        <is>
          <t>UTP_EPG Salaverry_Impl. Armario</t>
        </is>
      </c>
      <c r="AL300" s="3" t="inlineStr">
        <is>
          <t>IMS CENTAUROS</t>
        </is>
      </c>
    </row>
  </sheetData>
  <dataValidations count="1">
    <dataValidation sqref="AB7:AB300" showDropDown="0" showInputMessage="0" showErrorMessage="0" allowBlank="1" type="list">
      <formula1>"EJECUTADO,EN PROCESO,PENDIENTE,CANCELADO"</formula1>
    </dataValidation>
  </dataValidations>
  <pageMargins left="0.75" right="0.75" top="1" bottom="1" header="0.5" footer="0.5"/>
  <pageSetup fitToHeight="0" fitToWidth="1"/>
</worksheet>
</file>

<file path=xl/worksheets/sheet16.xml><?xml version="1.0" encoding="utf-8"?>
<worksheet xmlns="http://schemas.openxmlformats.org/spreadsheetml/2006/main">
  <sheetPr>
    <outlinePr summaryBelow="1" summaryRight="1"/>
    <pageSetUpPr fitToPage="1"/>
  </sheetPr>
  <dimension ref="A1:M22"/>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0" customHeight="1">
      <c r="A1" s="1" t="inlineStr">
        <is>
          <t>ESTADO</t>
        </is>
      </c>
      <c r="B1" s="1" t="inlineStr">
        <is>
          <t>(Todas)</t>
        </is>
      </c>
      <c r="C1" s="8" t="n"/>
      <c r="D1" s="8" t="n"/>
      <c r="E1" s="8" t="n"/>
      <c r="F1" s="8" t="n"/>
      <c r="G1" s="8" t="n"/>
      <c r="H1" s="8" t="n"/>
      <c r="I1" s="8" t="n"/>
      <c r="J1" s="8" t="n"/>
      <c r="K1" s="8" t="n"/>
      <c r="L1" s="8" t="n"/>
      <c r="M1" s="8" t="n"/>
    </row>
    <row r="3">
      <c r="A3" s="3" t="inlineStr">
        <is>
          <t>#</t>
        </is>
      </c>
      <c r="B3" s="9" t="inlineStr">
        <is>
          <t>Meses (FECHA FIN PLANIFICADA)</t>
        </is>
      </c>
    </row>
    <row r="4">
      <c r="A4" s="9" t="inlineStr">
        <is>
          <t>CAMPUS</t>
        </is>
      </c>
      <c r="B4" s="9" t="inlineStr">
        <is>
          <t>&lt;1/03/2026</t>
        </is>
      </c>
      <c r="C4" s="9" t="inlineStr">
        <is>
          <t>Mar</t>
        </is>
      </c>
      <c r="D4" s="9" t="inlineStr">
        <is>
          <t>Abr</t>
        </is>
      </c>
      <c r="E4" s="9" t="inlineStr">
        <is>
          <t>May</t>
        </is>
      </c>
      <c r="F4" s="9" t="inlineStr">
        <is>
          <t>Jun</t>
        </is>
      </c>
      <c r="G4" s="9" t="inlineStr">
        <is>
          <t>Jul</t>
        </is>
      </c>
      <c r="H4" s="9" t="inlineStr">
        <is>
          <t>Ago</t>
        </is>
      </c>
      <c r="I4" s="9" t="inlineStr">
        <is>
          <t>Set</t>
        </is>
      </c>
      <c r="J4" s="9" t="inlineStr">
        <is>
          <t>Oct</t>
        </is>
      </c>
      <c r="K4" s="9" t="inlineStr">
        <is>
          <t>Nov</t>
        </is>
      </c>
      <c r="L4" s="9" t="inlineStr">
        <is>
          <t>Dic</t>
        </is>
      </c>
      <c r="M4" s="9" t="inlineStr">
        <is>
          <t>Total general</t>
        </is>
      </c>
    </row>
    <row r="5">
      <c r="A5" s="3" t="inlineStr">
        <is>
          <t>UTP SJL</t>
        </is>
      </c>
      <c r="B5" s="3">
        <f>COUNTIFS(BD_INICIATIVAS!$R$7:$R$1000,$A5,BD_INICIATIVAS!$Y$7:$Y$1000,"&lt;"&amp;DATE(2026,3,1))</f>
        <v/>
      </c>
      <c r="C5" s="3">
        <f>COUNTIFS(BD_INICIATIVAS!$R$7:$R$1000,$A5,BD_INICIATIVAS!$Y$7:$Y$1000,"&gt;="&amp;DATE(2026,3,1),BD_INICIATIVAS!$Y$7:$Y$1000,"&lt;"&amp;DATE(2026,4,1))</f>
        <v/>
      </c>
      <c r="D5" s="3">
        <f>COUNTIFS(BD_INICIATIVAS!$R$7:$R$1000,$A5,BD_INICIATIVAS!$Y$7:$Y$1000,"&gt;="&amp;DATE(2026,4,1),BD_INICIATIVAS!$Y$7:$Y$1000,"&lt;"&amp;DATE(2026,5,1))</f>
        <v/>
      </c>
      <c r="E5" s="3">
        <f>COUNTIFS(BD_INICIATIVAS!$R$7:$R$1000,$A5,BD_INICIATIVAS!$Y$7:$Y$1000,"&gt;="&amp;DATE(2026,5,1),BD_INICIATIVAS!$Y$7:$Y$1000,"&lt;"&amp;DATE(2026,6,1))</f>
        <v/>
      </c>
      <c r="F5" s="3">
        <f>COUNTIFS(BD_INICIATIVAS!$R$7:$R$1000,$A5,BD_INICIATIVAS!$Y$7:$Y$1000,"&gt;="&amp;DATE(2026,6,1),BD_INICIATIVAS!$Y$7:$Y$1000,"&lt;"&amp;DATE(2026,7,1))</f>
        <v/>
      </c>
      <c r="G5" s="3">
        <f>COUNTIFS(BD_INICIATIVAS!$R$7:$R$1000,$A5,BD_INICIATIVAS!$Y$7:$Y$1000,"&gt;="&amp;DATE(2026,7,1),BD_INICIATIVAS!$Y$7:$Y$1000,"&lt;"&amp;DATE(2026,8,1))</f>
        <v/>
      </c>
      <c r="H5" s="3">
        <f>COUNTIFS(BD_INICIATIVAS!$R$7:$R$1000,$A5,BD_INICIATIVAS!$Y$7:$Y$1000,"&gt;="&amp;DATE(2026,8,1),BD_INICIATIVAS!$Y$7:$Y$1000,"&lt;"&amp;DATE(2026,9,1))</f>
        <v/>
      </c>
      <c r="I5" s="3">
        <f>COUNTIFS(BD_INICIATIVAS!$R$7:$R$1000,$A5,BD_INICIATIVAS!$Y$7:$Y$1000,"&gt;="&amp;DATE(2026,9,1),BD_INICIATIVAS!$Y$7:$Y$1000,"&lt;"&amp;DATE(2026,10,1))</f>
        <v/>
      </c>
      <c r="J5" s="3">
        <f>COUNTIFS(BD_INICIATIVAS!$R$7:$R$1000,$A5,BD_INICIATIVAS!$Y$7:$Y$1000,"&gt;="&amp;DATE(2026,10,1),BD_INICIATIVAS!$Y$7:$Y$1000,"&lt;"&amp;DATE(2026,11,1))</f>
        <v/>
      </c>
      <c r="K5" s="3">
        <f>COUNTIFS(BD_INICIATIVAS!$R$7:$R$1000,$A5,BD_INICIATIVAS!$Y$7:$Y$1000,"&gt;="&amp;DATE(2026,11,1),BD_INICIATIVAS!$Y$7:$Y$1000,"&lt;"&amp;DATE(2026,12,1))</f>
        <v/>
      </c>
      <c r="L5" s="3">
        <f>COUNTIFS(BD_INICIATIVAS!$R$7:$R$1000,$A5,BD_INICIATIVAS!$Y$7:$Y$1000,"&gt;="&amp;DATE(2026,12,1),BD_INICIATIVAS!$Y$7:$Y$1000,"&lt;"&amp;DATE(2027,1,1))</f>
        <v/>
      </c>
      <c r="M5" s="3">
        <f>SUM(B5:L5)</f>
        <v/>
      </c>
    </row>
    <row r="6">
      <c r="A6" s="3" t="inlineStr">
        <is>
          <t>UTP Piura</t>
        </is>
      </c>
      <c r="B6" s="3">
        <f>COUNTIFS(BD_INICIATIVAS!$R$7:$R$1000,$A6,BD_INICIATIVAS!$Y$7:$Y$1000,"&lt;"&amp;DATE(2026,3,1))</f>
        <v/>
      </c>
      <c r="C6" s="3">
        <f>COUNTIFS(BD_INICIATIVAS!$R$7:$R$1000,$A6,BD_INICIATIVAS!$Y$7:$Y$1000,"&gt;="&amp;DATE(2026,3,1),BD_INICIATIVAS!$Y$7:$Y$1000,"&lt;"&amp;DATE(2026,4,1))</f>
        <v/>
      </c>
      <c r="D6" s="3">
        <f>COUNTIFS(BD_INICIATIVAS!$R$7:$R$1000,$A6,BD_INICIATIVAS!$Y$7:$Y$1000,"&gt;="&amp;DATE(2026,4,1),BD_INICIATIVAS!$Y$7:$Y$1000,"&lt;"&amp;DATE(2026,5,1))</f>
        <v/>
      </c>
      <c r="E6" s="3">
        <f>COUNTIFS(BD_INICIATIVAS!$R$7:$R$1000,$A6,BD_INICIATIVAS!$Y$7:$Y$1000,"&gt;="&amp;DATE(2026,5,1),BD_INICIATIVAS!$Y$7:$Y$1000,"&lt;"&amp;DATE(2026,6,1))</f>
        <v/>
      </c>
      <c r="F6" s="3">
        <f>COUNTIFS(BD_INICIATIVAS!$R$7:$R$1000,$A6,BD_INICIATIVAS!$Y$7:$Y$1000,"&gt;="&amp;DATE(2026,6,1),BD_INICIATIVAS!$Y$7:$Y$1000,"&lt;"&amp;DATE(2026,7,1))</f>
        <v/>
      </c>
      <c r="G6" s="3">
        <f>COUNTIFS(BD_INICIATIVAS!$R$7:$R$1000,$A6,BD_INICIATIVAS!$Y$7:$Y$1000,"&gt;="&amp;DATE(2026,7,1),BD_INICIATIVAS!$Y$7:$Y$1000,"&lt;"&amp;DATE(2026,8,1))</f>
        <v/>
      </c>
      <c r="H6" s="3">
        <f>COUNTIFS(BD_INICIATIVAS!$R$7:$R$1000,$A6,BD_INICIATIVAS!$Y$7:$Y$1000,"&gt;="&amp;DATE(2026,8,1),BD_INICIATIVAS!$Y$7:$Y$1000,"&lt;"&amp;DATE(2026,9,1))</f>
        <v/>
      </c>
      <c r="I6" s="3">
        <f>COUNTIFS(BD_INICIATIVAS!$R$7:$R$1000,$A6,BD_INICIATIVAS!$Y$7:$Y$1000,"&gt;="&amp;DATE(2026,9,1),BD_INICIATIVAS!$Y$7:$Y$1000,"&lt;"&amp;DATE(2026,10,1))</f>
        <v/>
      </c>
      <c r="J6" s="3">
        <f>COUNTIFS(BD_INICIATIVAS!$R$7:$R$1000,$A6,BD_INICIATIVAS!$Y$7:$Y$1000,"&gt;="&amp;DATE(2026,10,1),BD_INICIATIVAS!$Y$7:$Y$1000,"&lt;"&amp;DATE(2026,11,1))</f>
        <v/>
      </c>
      <c r="K6" s="3">
        <f>COUNTIFS(BD_INICIATIVAS!$R$7:$R$1000,$A6,BD_INICIATIVAS!$Y$7:$Y$1000,"&gt;="&amp;DATE(2026,11,1),BD_INICIATIVAS!$Y$7:$Y$1000,"&lt;"&amp;DATE(2026,12,1))</f>
        <v/>
      </c>
      <c r="L6" s="3">
        <f>COUNTIFS(BD_INICIATIVAS!$R$7:$R$1000,$A6,BD_INICIATIVAS!$Y$7:$Y$1000,"&gt;="&amp;DATE(2026,12,1),BD_INICIATIVAS!$Y$7:$Y$1000,"&lt;"&amp;DATE(2027,1,1))</f>
        <v/>
      </c>
      <c r="M6" s="3">
        <f>SUM(B6:L6)</f>
        <v/>
      </c>
    </row>
    <row r="7">
      <c r="A7" s="3" t="inlineStr">
        <is>
          <t>UTP Trujillo</t>
        </is>
      </c>
      <c r="B7" s="3">
        <f>COUNTIFS(BD_INICIATIVAS!$R$7:$R$1000,$A7,BD_INICIATIVAS!$Y$7:$Y$1000,"&lt;"&amp;DATE(2026,3,1))</f>
        <v/>
      </c>
      <c r="C7" s="3">
        <f>COUNTIFS(BD_INICIATIVAS!$R$7:$R$1000,$A7,BD_INICIATIVAS!$Y$7:$Y$1000,"&gt;="&amp;DATE(2026,3,1),BD_INICIATIVAS!$Y$7:$Y$1000,"&lt;"&amp;DATE(2026,4,1))</f>
        <v/>
      </c>
      <c r="D7" s="3">
        <f>COUNTIFS(BD_INICIATIVAS!$R$7:$R$1000,$A7,BD_INICIATIVAS!$Y$7:$Y$1000,"&gt;="&amp;DATE(2026,4,1),BD_INICIATIVAS!$Y$7:$Y$1000,"&lt;"&amp;DATE(2026,5,1))</f>
        <v/>
      </c>
      <c r="E7" s="3">
        <f>COUNTIFS(BD_INICIATIVAS!$R$7:$R$1000,$A7,BD_INICIATIVAS!$Y$7:$Y$1000,"&gt;="&amp;DATE(2026,5,1),BD_INICIATIVAS!$Y$7:$Y$1000,"&lt;"&amp;DATE(2026,6,1))</f>
        <v/>
      </c>
      <c r="F7" s="3">
        <f>COUNTIFS(BD_INICIATIVAS!$R$7:$R$1000,$A7,BD_INICIATIVAS!$Y$7:$Y$1000,"&gt;="&amp;DATE(2026,6,1),BD_INICIATIVAS!$Y$7:$Y$1000,"&lt;"&amp;DATE(2026,7,1))</f>
        <v/>
      </c>
      <c r="G7" s="3">
        <f>COUNTIFS(BD_INICIATIVAS!$R$7:$R$1000,$A7,BD_INICIATIVAS!$Y$7:$Y$1000,"&gt;="&amp;DATE(2026,7,1),BD_INICIATIVAS!$Y$7:$Y$1000,"&lt;"&amp;DATE(2026,8,1))</f>
        <v/>
      </c>
      <c r="H7" s="3">
        <f>COUNTIFS(BD_INICIATIVAS!$R$7:$R$1000,$A7,BD_INICIATIVAS!$Y$7:$Y$1000,"&gt;="&amp;DATE(2026,8,1),BD_INICIATIVAS!$Y$7:$Y$1000,"&lt;"&amp;DATE(2026,9,1))</f>
        <v/>
      </c>
      <c r="I7" s="3">
        <f>COUNTIFS(BD_INICIATIVAS!$R$7:$R$1000,$A7,BD_INICIATIVAS!$Y$7:$Y$1000,"&gt;="&amp;DATE(2026,9,1),BD_INICIATIVAS!$Y$7:$Y$1000,"&lt;"&amp;DATE(2026,10,1))</f>
        <v/>
      </c>
      <c r="J7" s="3">
        <f>COUNTIFS(BD_INICIATIVAS!$R$7:$R$1000,$A7,BD_INICIATIVAS!$Y$7:$Y$1000,"&gt;="&amp;DATE(2026,10,1),BD_INICIATIVAS!$Y$7:$Y$1000,"&lt;"&amp;DATE(2026,11,1))</f>
        <v/>
      </c>
      <c r="K7" s="3">
        <f>COUNTIFS(BD_INICIATIVAS!$R$7:$R$1000,$A7,BD_INICIATIVAS!$Y$7:$Y$1000,"&gt;="&amp;DATE(2026,11,1),BD_INICIATIVAS!$Y$7:$Y$1000,"&lt;"&amp;DATE(2026,12,1))</f>
        <v/>
      </c>
      <c r="L7" s="3">
        <f>COUNTIFS(BD_INICIATIVAS!$R$7:$R$1000,$A7,BD_INICIATIVAS!$Y$7:$Y$1000,"&gt;="&amp;DATE(2026,12,1),BD_INICIATIVAS!$Y$7:$Y$1000,"&lt;"&amp;DATE(2027,1,1))</f>
        <v/>
      </c>
      <c r="M7" s="3">
        <f>SUM(B7:L7)</f>
        <v/>
      </c>
    </row>
    <row r="8">
      <c r="A8" s="3" t="inlineStr">
        <is>
          <t>UTP Lima Norte</t>
        </is>
      </c>
      <c r="B8" s="3">
        <f>COUNTIFS(BD_INICIATIVAS!$R$7:$R$1000,$A8,BD_INICIATIVAS!$Y$7:$Y$1000,"&lt;"&amp;DATE(2026,3,1))</f>
        <v/>
      </c>
      <c r="C8" s="3">
        <f>COUNTIFS(BD_INICIATIVAS!$R$7:$R$1000,$A8,BD_INICIATIVAS!$Y$7:$Y$1000,"&gt;="&amp;DATE(2026,3,1),BD_INICIATIVAS!$Y$7:$Y$1000,"&lt;"&amp;DATE(2026,4,1))</f>
        <v/>
      </c>
      <c r="D8" s="3">
        <f>COUNTIFS(BD_INICIATIVAS!$R$7:$R$1000,$A8,BD_INICIATIVAS!$Y$7:$Y$1000,"&gt;="&amp;DATE(2026,4,1),BD_INICIATIVAS!$Y$7:$Y$1000,"&lt;"&amp;DATE(2026,5,1))</f>
        <v/>
      </c>
      <c r="E8" s="3">
        <f>COUNTIFS(BD_INICIATIVAS!$R$7:$R$1000,$A8,BD_INICIATIVAS!$Y$7:$Y$1000,"&gt;="&amp;DATE(2026,5,1),BD_INICIATIVAS!$Y$7:$Y$1000,"&lt;"&amp;DATE(2026,6,1))</f>
        <v/>
      </c>
      <c r="F8" s="3">
        <f>COUNTIFS(BD_INICIATIVAS!$R$7:$R$1000,$A8,BD_INICIATIVAS!$Y$7:$Y$1000,"&gt;="&amp;DATE(2026,6,1),BD_INICIATIVAS!$Y$7:$Y$1000,"&lt;"&amp;DATE(2026,7,1))</f>
        <v/>
      </c>
      <c r="G8" s="3">
        <f>COUNTIFS(BD_INICIATIVAS!$R$7:$R$1000,$A8,BD_INICIATIVAS!$Y$7:$Y$1000,"&gt;="&amp;DATE(2026,7,1),BD_INICIATIVAS!$Y$7:$Y$1000,"&lt;"&amp;DATE(2026,8,1))</f>
        <v/>
      </c>
      <c r="H8" s="3">
        <f>COUNTIFS(BD_INICIATIVAS!$R$7:$R$1000,$A8,BD_INICIATIVAS!$Y$7:$Y$1000,"&gt;="&amp;DATE(2026,8,1),BD_INICIATIVAS!$Y$7:$Y$1000,"&lt;"&amp;DATE(2026,9,1))</f>
        <v/>
      </c>
      <c r="I8" s="3">
        <f>COUNTIFS(BD_INICIATIVAS!$R$7:$R$1000,$A8,BD_INICIATIVAS!$Y$7:$Y$1000,"&gt;="&amp;DATE(2026,9,1),BD_INICIATIVAS!$Y$7:$Y$1000,"&lt;"&amp;DATE(2026,10,1))</f>
        <v/>
      </c>
      <c r="J8" s="3">
        <f>COUNTIFS(BD_INICIATIVAS!$R$7:$R$1000,$A8,BD_INICIATIVAS!$Y$7:$Y$1000,"&gt;="&amp;DATE(2026,10,1),BD_INICIATIVAS!$Y$7:$Y$1000,"&lt;"&amp;DATE(2026,11,1))</f>
        <v/>
      </c>
      <c r="K8" s="3">
        <f>COUNTIFS(BD_INICIATIVAS!$R$7:$R$1000,$A8,BD_INICIATIVAS!$Y$7:$Y$1000,"&gt;="&amp;DATE(2026,11,1),BD_INICIATIVAS!$Y$7:$Y$1000,"&lt;"&amp;DATE(2026,12,1))</f>
        <v/>
      </c>
      <c r="L8" s="3">
        <f>COUNTIFS(BD_INICIATIVAS!$R$7:$R$1000,$A8,BD_INICIATIVAS!$Y$7:$Y$1000,"&gt;="&amp;DATE(2026,12,1),BD_INICIATIVAS!$Y$7:$Y$1000,"&lt;"&amp;DATE(2027,1,1))</f>
        <v/>
      </c>
      <c r="M8" s="3">
        <f>SUM(B8:L8)</f>
        <v/>
      </c>
    </row>
    <row r="9">
      <c r="A9" s="3" t="inlineStr">
        <is>
          <t>UTP Chimbote</t>
        </is>
      </c>
      <c r="B9" s="3">
        <f>COUNTIFS(BD_INICIATIVAS!$R$7:$R$1000,$A9,BD_INICIATIVAS!$Y$7:$Y$1000,"&lt;"&amp;DATE(2026,3,1))</f>
        <v/>
      </c>
      <c r="C9" s="3">
        <f>COUNTIFS(BD_INICIATIVAS!$R$7:$R$1000,$A9,BD_INICIATIVAS!$Y$7:$Y$1000,"&gt;="&amp;DATE(2026,3,1),BD_INICIATIVAS!$Y$7:$Y$1000,"&lt;"&amp;DATE(2026,4,1))</f>
        <v/>
      </c>
      <c r="D9" s="3">
        <f>COUNTIFS(BD_INICIATIVAS!$R$7:$R$1000,$A9,BD_INICIATIVAS!$Y$7:$Y$1000,"&gt;="&amp;DATE(2026,4,1),BD_INICIATIVAS!$Y$7:$Y$1000,"&lt;"&amp;DATE(2026,5,1))</f>
        <v/>
      </c>
      <c r="E9" s="3">
        <f>COUNTIFS(BD_INICIATIVAS!$R$7:$R$1000,$A9,BD_INICIATIVAS!$Y$7:$Y$1000,"&gt;="&amp;DATE(2026,5,1),BD_INICIATIVAS!$Y$7:$Y$1000,"&lt;"&amp;DATE(2026,6,1))</f>
        <v/>
      </c>
      <c r="F9" s="3">
        <f>COUNTIFS(BD_INICIATIVAS!$R$7:$R$1000,$A9,BD_INICIATIVAS!$Y$7:$Y$1000,"&gt;="&amp;DATE(2026,6,1),BD_INICIATIVAS!$Y$7:$Y$1000,"&lt;"&amp;DATE(2026,7,1))</f>
        <v/>
      </c>
      <c r="G9" s="3">
        <f>COUNTIFS(BD_INICIATIVAS!$R$7:$R$1000,$A9,BD_INICIATIVAS!$Y$7:$Y$1000,"&gt;="&amp;DATE(2026,7,1),BD_INICIATIVAS!$Y$7:$Y$1000,"&lt;"&amp;DATE(2026,8,1))</f>
        <v/>
      </c>
      <c r="H9" s="3">
        <f>COUNTIFS(BD_INICIATIVAS!$R$7:$R$1000,$A9,BD_INICIATIVAS!$Y$7:$Y$1000,"&gt;="&amp;DATE(2026,8,1),BD_INICIATIVAS!$Y$7:$Y$1000,"&lt;"&amp;DATE(2026,9,1))</f>
        <v/>
      </c>
      <c r="I9" s="3">
        <f>COUNTIFS(BD_INICIATIVAS!$R$7:$R$1000,$A9,BD_INICIATIVAS!$Y$7:$Y$1000,"&gt;="&amp;DATE(2026,9,1),BD_INICIATIVAS!$Y$7:$Y$1000,"&lt;"&amp;DATE(2026,10,1))</f>
        <v/>
      </c>
      <c r="J9" s="3">
        <f>COUNTIFS(BD_INICIATIVAS!$R$7:$R$1000,$A9,BD_INICIATIVAS!$Y$7:$Y$1000,"&gt;="&amp;DATE(2026,10,1),BD_INICIATIVAS!$Y$7:$Y$1000,"&lt;"&amp;DATE(2026,11,1))</f>
        <v/>
      </c>
      <c r="K9" s="3">
        <f>COUNTIFS(BD_INICIATIVAS!$R$7:$R$1000,$A9,BD_INICIATIVAS!$Y$7:$Y$1000,"&gt;="&amp;DATE(2026,11,1),BD_INICIATIVAS!$Y$7:$Y$1000,"&lt;"&amp;DATE(2026,12,1))</f>
        <v/>
      </c>
      <c r="L9" s="3">
        <f>COUNTIFS(BD_INICIATIVAS!$R$7:$R$1000,$A9,BD_INICIATIVAS!$Y$7:$Y$1000,"&gt;="&amp;DATE(2026,12,1),BD_INICIATIVAS!$Y$7:$Y$1000,"&lt;"&amp;DATE(2027,1,1))</f>
        <v/>
      </c>
      <c r="M9" s="3">
        <f>SUM(B9:L9)</f>
        <v/>
      </c>
    </row>
    <row r="10">
      <c r="A10" s="3" t="inlineStr">
        <is>
          <t>UTP Lima Centro</t>
        </is>
      </c>
      <c r="B10" s="3">
        <f>COUNTIFS(BD_INICIATIVAS!$R$7:$R$1000,$A10,BD_INICIATIVAS!$Y$7:$Y$1000,"&lt;"&amp;DATE(2026,3,1))</f>
        <v/>
      </c>
      <c r="C10" s="3">
        <f>COUNTIFS(BD_INICIATIVAS!$R$7:$R$1000,$A10,BD_INICIATIVAS!$Y$7:$Y$1000,"&gt;="&amp;DATE(2026,3,1),BD_INICIATIVAS!$Y$7:$Y$1000,"&lt;"&amp;DATE(2026,4,1))</f>
        <v/>
      </c>
      <c r="D10" s="3">
        <f>COUNTIFS(BD_INICIATIVAS!$R$7:$R$1000,$A10,BD_INICIATIVAS!$Y$7:$Y$1000,"&gt;="&amp;DATE(2026,4,1),BD_INICIATIVAS!$Y$7:$Y$1000,"&lt;"&amp;DATE(2026,5,1))</f>
        <v/>
      </c>
      <c r="E10" s="3">
        <f>COUNTIFS(BD_INICIATIVAS!$R$7:$R$1000,$A10,BD_INICIATIVAS!$Y$7:$Y$1000,"&gt;="&amp;DATE(2026,5,1),BD_INICIATIVAS!$Y$7:$Y$1000,"&lt;"&amp;DATE(2026,6,1))</f>
        <v/>
      </c>
      <c r="F10" s="3">
        <f>COUNTIFS(BD_INICIATIVAS!$R$7:$R$1000,$A10,BD_INICIATIVAS!$Y$7:$Y$1000,"&gt;="&amp;DATE(2026,6,1),BD_INICIATIVAS!$Y$7:$Y$1000,"&lt;"&amp;DATE(2026,7,1))</f>
        <v/>
      </c>
      <c r="G10" s="3">
        <f>COUNTIFS(BD_INICIATIVAS!$R$7:$R$1000,$A10,BD_INICIATIVAS!$Y$7:$Y$1000,"&gt;="&amp;DATE(2026,7,1),BD_INICIATIVAS!$Y$7:$Y$1000,"&lt;"&amp;DATE(2026,8,1))</f>
        <v/>
      </c>
      <c r="H10" s="3">
        <f>COUNTIFS(BD_INICIATIVAS!$R$7:$R$1000,$A10,BD_INICIATIVAS!$Y$7:$Y$1000,"&gt;="&amp;DATE(2026,8,1),BD_INICIATIVAS!$Y$7:$Y$1000,"&lt;"&amp;DATE(2026,9,1))</f>
        <v/>
      </c>
      <c r="I10" s="3">
        <f>COUNTIFS(BD_INICIATIVAS!$R$7:$R$1000,$A10,BD_INICIATIVAS!$Y$7:$Y$1000,"&gt;="&amp;DATE(2026,9,1),BD_INICIATIVAS!$Y$7:$Y$1000,"&lt;"&amp;DATE(2026,10,1))</f>
        <v/>
      </c>
      <c r="J10" s="3">
        <f>COUNTIFS(BD_INICIATIVAS!$R$7:$R$1000,$A10,BD_INICIATIVAS!$Y$7:$Y$1000,"&gt;="&amp;DATE(2026,10,1),BD_INICIATIVAS!$Y$7:$Y$1000,"&lt;"&amp;DATE(2026,11,1))</f>
        <v/>
      </c>
      <c r="K10" s="3">
        <f>COUNTIFS(BD_INICIATIVAS!$R$7:$R$1000,$A10,BD_INICIATIVAS!$Y$7:$Y$1000,"&gt;="&amp;DATE(2026,11,1),BD_INICIATIVAS!$Y$7:$Y$1000,"&lt;"&amp;DATE(2026,12,1))</f>
        <v/>
      </c>
      <c r="L10" s="3">
        <f>COUNTIFS(BD_INICIATIVAS!$R$7:$R$1000,$A10,BD_INICIATIVAS!$Y$7:$Y$1000,"&gt;="&amp;DATE(2026,12,1),BD_INICIATIVAS!$Y$7:$Y$1000,"&lt;"&amp;DATE(2027,1,1))</f>
        <v/>
      </c>
      <c r="M10" s="3">
        <f>SUM(B10:L10)</f>
        <v/>
      </c>
    </row>
    <row r="11">
      <c r="A11" s="3" t="inlineStr">
        <is>
          <t>UTP Lima Este</t>
        </is>
      </c>
      <c r="B11" s="3">
        <f>COUNTIFS(BD_INICIATIVAS!$R$7:$R$1000,$A11,BD_INICIATIVAS!$Y$7:$Y$1000,"&lt;"&amp;DATE(2026,3,1))</f>
        <v/>
      </c>
      <c r="C11" s="3">
        <f>COUNTIFS(BD_INICIATIVAS!$R$7:$R$1000,$A11,BD_INICIATIVAS!$Y$7:$Y$1000,"&gt;="&amp;DATE(2026,3,1),BD_INICIATIVAS!$Y$7:$Y$1000,"&lt;"&amp;DATE(2026,4,1))</f>
        <v/>
      </c>
      <c r="D11" s="3">
        <f>COUNTIFS(BD_INICIATIVAS!$R$7:$R$1000,$A11,BD_INICIATIVAS!$Y$7:$Y$1000,"&gt;="&amp;DATE(2026,4,1),BD_INICIATIVAS!$Y$7:$Y$1000,"&lt;"&amp;DATE(2026,5,1))</f>
        <v/>
      </c>
      <c r="E11" s="3">
        <f>COUNTIFS(BD_INICIATIVAS!$R$7:$R$1000,$A11,BD_INICIATIVAS!$Y$7:$Y$1000,"&gt;="&amp;DATE(2026,5,1),BD_INICIATIVAS!$Y$7:$Y$1000,"&lt;"&amp;DATE(2026,6,1))</f>
        <v/>
      </c>
      <c r="F11" s="3">
        <f>COUNTIFS(BD_INICIATIVAS!$R$7:$R$1000,$A11,BD_INICIATIVAS!$Y$7:$Y$1000,"&gt;="&amp;DATE(2026,6,1),BD_INICIATIVAS!$Y$7:$Y$1000,"&lt;"&amp;DATE(2026,7,1))</f>
        <v/>
      </c>
      <c r="G11" s="3">
        <f>COUNTIFS(BD_INICIATIVAS!$R$7:$R$1000,$A11,BD_INICIATIVAS!$Y$7:$Y$1000,"&gt;="&amp;DATE(2026,7,1),BD_INICIATIVAS!$Y$7:$Y$1000,"&lt;"&amp;DATE(2026,8,1))</f>
        <v/>
      </c>
      <c r="H11" s="3">
        <f>COUNTIFS(BD_INICIATIVAS!$R$7:$R$1000,$A11,BD_INICIATIVAS!$Y$7:$Y$1000,"&gt;="&amp;DATE(2026,8,1),BD_INICIATIVAS!$Y$7:$Y$1000,"&lt;"&amp;DATE(2026,9,1))</f>
        <v/>
      </c>
      <c r="I11" s="3">
        <f>COUNTIFS(BD_INICIATIVAS!$R$7:$R$1000,$A11,BD_INICIATIVAS!$Y$7:$Y$1000,"&gt;="&amp;DATE(2026,9,1),BD_INICIATIVAS!$Y$7:$Y$1000,"&lt;"&amp;DATE(2026,10,1))</f>
        <v/>
      </c>
      <c r="J11" s="3">
        <f>COUNTIFS(BD_INICIATIVAS!$R$7:$R$1000,$A11,BD_INICIATIVAS!$Y$7:$Y$1000,"&gt;="&amp;DATE(2026,10,1),BD_INICIATIVAS!$Y$7:$Y$1000,"&lt;"&amp;DATE(2026,11,1))</f>
        <v/>
      </c>
      <c r="K11" s="3">
        <f>COUNTIFS(BD_INICIATIVAS!$R$7:$R$1000,$A11,BD_INICIATIVAS!$Y$7:$Y$1000,"&gt;="&amp;DATE(2026,11,1),BD_INICIATIVAS!$Y$7:$Y$1000,"&lt;"&amp;DATE(2026,12,1))</f>
        <v/>
      </c>
      <c r="L11" s="3">
        <f>COUNTIFS(BD_INICIATIVAS!$R$7:$R$1000,$A11,BD_INICIATIVAS!$Y$7:$Y$1000,"&gt;="&amp;DATE(2026,12,1),BD_INICIATIVAS!$Y$7:$Y$1000,"&lt;"&amp;DATE(2027,1,1))</f>
        <v/>
      </c>
      <c r="M11" s="3">
        <f>SUM(B11:L11)</f>
        <v/>
      </c>
    </row>
    <row r="12">
      <c r="A12" s="3" t="inlineStr">
        <is>
          <t>UTP Lima Sur</t>
        </is>
      </c>
      <c r="B12" s="3">
        <f>COUNTIFS(BD_INICIATIVAS!$R$7:$R$1000,$A12,BD_INICIATIVAS!$Y$7:$Y$1000,"&lt;"&amp;DATE(2026,3,1))</f>
        <v/>
      </c>
      <c r="C12" s="3">
        <f>COUNTIFS(BD_INICIATIVAS!$R$7:$R$1000,$A12,BD_INICIATIVAS!$Y$7:$Y$1000,"&gt;="&amp;DATE(2026,3,1),BD_INICIATIVAS!$Y$7:$Y$1000,"&lt;"&amp;DATE(2026,4,1))</f>
        <v/>
      </c>
      <c r="D12" s="3">
        <f>COUNTIFS(BD_INICIATIVAS!$R$7:$R$1000,$A12,BD_INICIATIVAS!$Y$7:$Y$1000,"&gt;="&amp;DATE(2026,4,1),BD_INICIATIVAS!$Y$7:$Y$1000,"&lt;"&amp;DATE(2026,5,1))</f>
        <v/>
      </c>
      <c r="E12" s="3">
        <f>COUNTIFS(BD_INICIATIVAS!$R$7:$R$1000,$A12,BD_INICIATIVAS!$Y$7:$Y$1000,"&gt;="&amp;DATE(2026,5,1),BD_INICIATIVAS!$Y$7:$Y$1000,"&lt;"&amp;DATE(2026,6,1))</f>
        <v/>
      </c>
      <c r="F12" s="3">
        <f>COUNTIFS(BD_INICIATIVAS!$R$7:$R$1000,$A12,BD_INICIATIVAS!$Y$7:$Y$1000,"&gt;="&amp;DATE(2026,6,1),BD_INICIATIVAS!$Y$7:$Y$1000,"&lt;"&amp;DATE(2026,7,1))</f>
        <v/>
      </c>
      <c r="G12" s="3">
        <f>COUNTIFS(BD_INICIATIVAS!$R$7:$R$1000,$A12,BD_INICIATIVAS!$Y$7:$Y$1000,"&gt;="&amp;DATE(2026,7,1),BD_INICIATIVAS!$Y$7:$Y$1000,"&lt;"&amp;DATE(2026,8,1))</f>
        <v/>
      </c>
      <c r="H12" s="3">
        <f>COUNTIFS(BD_INICIATIVAS!$R$7:$R$1000,$A12,BD_INICIATIVAS!$Y$7:$Y$1000,"&gt;="&amp;DATE(2026,8,1),BD_INICIATIVAS!$Y$7:$Y$1000,"&lt;"&amp;DATE(2026,9,1))</f>
        <v/>
      </c>
      <c r="I12" s="3">
        <f>COUNTIFS(BD_INICIATIVAS!$R$7:$R$1000,$A12,BD_INICIATIVAS!$Y$7:$Y$1000,"&gt;="&amp;DATE(2026,9,1),BD_INICIATIVAS!$Y$7:$Y$1000,"&lt;"&amp;DATE(2026,10,1))</f>
        <v/>
      </c>
      <c r="J12" s="3">
        <f>COUNTIFS(BD_INICIATIVAS!$R$7:$R$1000,$A12,BD_INICIATIVAS!$Y$7:$Y$1000,"&gt;="&amp;DATE(2026,10,1),BD_INICIATIVAS!$Y$7:$Y$1000,"&lt;"&amp;DATE(2026,11,1))</f>
        <v/>
      </c>
      <c r="K12" s="3">
        <f>COUNTIFS(BD_INICIATIVAS!$R$7:$R$1000,$A12,BD_INICIATIVAS!$Y$7:$Y$1000,"&gt;="&amp;DATE(2026,11,1),BD_INICIATIVAS!$Y$7:$Y$1000,"&lt;"&amp;DATE(2026,12,1))</f>
        <v/>
      </c>
      <c r="L12" s="3">
        <f>COUNTIFS(BD_INICIATIVAS!$R$7:$R$1000,$A12,BD_INICIATIVAS!$Y$7:$Y$1000,"&gt;="&amp;DATE(2026,12,1),BD_INICIATIVAS!$Y$7:$Y$1000,"&lt;"&amp;DATE(2027,1,1))</f>
        <v/>
      </c>
      <c r="M12" s="3">
        <f>SUM(B12:L12)</f>
        <v/>
      </c>
    </row>
    <row r="13">
      <c r="A13" s="3" t="inlineStr">
        <is>
          <t>UTP Ica</t>
        </is>
      </c>
      <c r="B13" s="3">
        <f>COUNTIFS(BD_INICIATIVAS!$R$7:$R$1000,$A13,BD_INICIATIVAS!$Y$7:$Y$1000,"&lt;"&amp;DATE(2026,3,1))</f>
        <v/>
      </c>
      <c r="C13" s="3">
        <f>COUNTIFS(BD_INICIATIVAS!$R$7:$R$1000,$A13,BD_INICIATIVAS!$Y$7:$Y$1000,"&gt;="&amp;DATE(2026,3,1),BD_INICIATIVAS!$Y$7:$Y$1000,"&lt;"&amp;DATE(2026,4,1))</f>
        <v/>
      </c>
      <c r="D13" s="3">
        <f>COUNTIFS(BD_INICIATIVAS!$R$7:$R$1000,$A13,BD_INICIATIVAS!$Y$7:$Y$1000,"&gt;="&amp;DATE(2026,4,1),BD_INICIATIVAS!$Y$7:$Y$1000,"&lt;"&amp;DATE(2026,5,1))</f>
        <v/>
      </c>
      <c r="E13" s="3">
        <f>COUNTIFS(BD_INICIATIVAS!$R$7:$R$1000,$A13,BD_INICIATIVAS!$Y$7:$Y$1000,"&gt;="&amp;DATE(2026,5,1),BD_INICIATIVAS!$Y$7:$Y$1000,"&lt;"&amp;DATE(2026,6,1))</f>
        <v/>
      </c>
      <c r="F13" s="3">
        <f>COUNTIFS(BD_INICIATIVAS!$R$7:$R$1000,$A13,BD_INICIATIVAS!$Y$7:$Y$1000,"&gt;="&amp;DATE(2026,6,1),BD_INICIATIVAS!$Y$7:$Y$1000,"&lt;"&amp;DATE(2026,7,1))</f>
        <v/>
      </c>
      <c r="G13" s="3">
        <f>COUNTIFS(BD_INICIATIVAS!$R$7:$R$1000,$A13,BD_INICIATIVAS!$Y$7:$Y$1000,"&gt;="&amp;DATE(2026,7,1),BD_INICIATIVAS!$Y$7:$Y$1000,"&lt;"&amp;DATE(2026,8,1))</f>
        <v/>
      </c>
      <c r="H13" s="3">
        <f>COUNTIFS(BD_INICIATIVAS!$R$7:$R$1000,$A13,BD_INICIATIVAS!$Y$7:$Y$1000,"&gt;="&amp;DATE(2026,8,1),BD_INICIATIVAS!$Y$7:$Y$1000,"&lt;"&amp;DATE(2026,9,1))</f>
        <v/>
      </c>
      <c r="I13" s="3">
        <f>COUNTIFS(BD_INICIATIVAS!$R$7:$R$1000,$A13,BD_INICIATIVAS!$Y$7:$Y$1000,"&gt;="&amp;DATE(2026,9,1),BD_INICIATIVAS!$Y$7:$Y$1000,"&lt;"&amp;DATE(2026,10,1))</f>
        <v/>
      </c>
      <c r="J13" s="3">
        <f>COUNTIFS(BD_INICIATIVAS!$R$7:$R$1000,$A13,BD_INICIATIVAS!$Y$7:$Y$1000,"&gt;="&amp;DATE(2026,10,1),BD_INICIATIVAS!$Y$7:$Y$1000,"&lt;"&amp;DATE(2026,11,1))</f>
        <v/>
      </c>
      <c r="K13" s="3">
        <f>COUNTIFS(BD_INICIATIVAS!$R$7:$R$1000,$A13,BD_INICIATIVAS!$Y$7:$Y$1000,"&gt;="&amp;DATE(2026,11,1),BD_INICIATIVAS!$Y$7:$Y$1000,"&lt;"&amp;DATE(2026,12,1))</f>
        <v/>
      </c>
      <c r="L13" s="3">
        <f>COUNTIFS(BD_INICIATIVAS!$R$7:$R$1000,$A13,BD_INICIATIVAS!$Y$7:$Y$1000,"&gt;="&amp;DATE(2026,12,1),BD_INICIATIVAS!$Y$7:$Y$1000,"&lt;"&amp;DATE(2027,1,1))</f>
        <v/>
      </c>
      <c r="M13" s="3">
        <f>SUM(B13:L13)</f>
        <v/>
      </c>
    </row>
    <row r="14">
      <c r="A14" s="3" t="inlineStr">
        <is>
          <t>UTP Chiclayo</t>
        </is>
      </c>
      <c r="B14" s="3">
        <f>COUNTIFS(BD_INICIATIVAS!$R$7:$R$1000,$A14,BD_INICIATIVAS!$Y$7:$Y$1000,"&lt;"&amp;DATE(2026,3,1))</f>
        <v/>
      </c>
      <c r="C14" s="3">
        <f>COUNTIFS(BD_INICIATIVAS!$R$7:$R$1000,$A14,BD_INICIATIVAS!$Y$7:$Y$1000,"&gt;="&amp;DATE(2026,3,1),BD_INICIATIVAS!$Y$7:$Y$1000,"&lt;"&amp;DATE(2026,4,1))</f>
        <v/>
      </c>
      <c r="D14" s="3">
        <f>COUNTIFS(BD_INICIATIVAS!$R$7:$R$1000,$A14,BD_INICIATIVAS!$Y$7:$Y$1000,"&gt;="&amp;DATE(2026,4,1),BD_INICIATIVAS!$Y$7:$Y$1000,"&lt;"&amp;DATE(2026,5,1))</f>
        <v/>
      </c>
      <c r="E14" s="3">
        <f>COUNTIFS(BD_INICIATIVAS!$R$7:$R$1000,$A14,BD_INICIATIVAS!$Y$7:$Y$1000,"&gt;="&amp;DATE(2026,5,1),BD_INICIATIVAS!$Y$7:$Y$1000,"&lt;"&amp;DATE(2026,6,1))</f>
        <v/>
      </c>
      <c r="F14" s="3">
        <f>COUNTIFS(BD_INICIATIVAS!$R$7:$R$1000,$A14,BD_INICIATIVAS!$Y$7:$Y$1000,"&gt;="&amp;DATE(2026,6,1),BD_INICIATIVAS!$Y$7:$Y$1000,"&lt;"&amp;DATE(2026,7,1))</f>
        <v/>
      </c>
      <c r="G14" s="3">
        <f>COUNTIFS(BD_INICIATIVAS!$R$7:$R$1000,$A14,BD_INICIATIVAS!$Y$7:$Y$1000,"&gt;="&amp;DATE(2026,7,1),BD_INICIATIVAS!$Y$7:$Y$1000,"&lt;"&amp;DATE(2026,8,1))</f>
        <v/>
      </c>
      <c r="H14" s="3">
        <f>COUNTIFS(BD_INICIATIVAS!$R$7:$R$1000,$A14,BD_INICIATIVAS!$Y$7:$Y$1000,"&gt;="&amp;DATE(2026,8,1),BD_INICIATIVAS!$Y$7:$Y$1000,"&lt;"&amp;DATE(2026,9,1))</f>
        <v/>
      </c>
      <c r="I14" s="3">
        <f>COUNTIFS(BD_INICIATIVAS!$R$7:$R$1000,$A14,BD_INICIATIVAS!$Y$7:$Y$1000,"&gt;="&amp;DATE(2026,9,1),BD_INICIATIVAS!$Y$7:$Y$1000,"&lt;"&amp;DATE(2026,10,1))</f>
        <v/>
      </c>
      <c r="J14" s="3">
        <f>COUNTIFS(BD_INICIATIVAS!$R$7:$R$1000,$A14,BD_INICIATIVAS!$Y$7:$Y$1000,"&gt;="&amp;DATE(2026,10,1),BD_INICIATIVAS!$Y$7:$Y$1000,"&lt;"&amp;DATE(2026,11,1))</f>
        <v/>
      </c>
      <c r="K14" s="3">
        <f>COUNTIFS(BD_INICIATIVAS!$R$7:$R$1000,$A14,BD_INICIATIVAS!$Y$7:$Y$1000,"&gt;="&amp;DATE(2026,11,1),BD_INICIATIVAS!$Y$7:$Y$1000,"&lt;"&amp;DATE(2026,12,1))</f>
        <v/>
      </c>
      <c r="L14" s="3">
        <f>COUNTIFS(BD_INICIATIVAS!$R$7:$R$1000,$A14,BD_INICIATIVAS!$Y$7:$Y$1000,"&gt;="&amp;DATE(2026,12,1),BD_INICIATIVAS!$Y$7:$Y$1000,"&lt;"&amp;DATE(2027,1,1))</f>
        <v/>
      </c>
      <c r="M14" s="3">
        <f>SUM(B14:L14)</f>
        <v/>
      </c>
    </row>
    <row r="15">
      <c r="A15" s="3" t="inlineStr">
        <is>
          <t>UTP Huancayo</t>
        </is>
      </c>
      <c r="B15" s="3">
        <f>COUNTIFS(BD_INICIATIVAS!$R$7:$R$1000,$A15,BD_INICIATIVAS!$Y$7:$Y$1000,"&lt;"&amp;DATE(2026,3,1))</f>
        <v/>
      </c>
      <c r="C15" s="3">
        <f>COUNTIFS(BD_INICIATIVAS!$R$7:$R$1000,$A15,BD_INICIATIVAS!$Y$7:$Y$1000,"&gt;="&amp;DATE(2026,3,1),BD_INICIATIVAS!$Y$7:$Y$1000,"&lt;"&amp;DATE(2026,4,1))</f>
        <v/>
      </c>
      <c r="D15" s="3">
        <f>COUNTIFS(BD_INICIATIVAS!$R$7:$R$1000,$A15,BD_INICIATIVAS!$Y$7:$Y$1000,"&gt;="&amp;DATE(2026,4,1),BD_INICIATIVAS!$Y$7:$Y$1000,"&lt;"&amp;DATE(2026,5,1))</f>
        <v/>
      </c>
      <c r="E15" s="3">
        <f>COUNTIFS(BD_INICIATIVAS!$R$7:$R$1000,$A15,BD_INICIATIVAS!$Y$7:$Y$1000,"&gt;="&amp;DATE(2026,5,1),BD_INICIATIVAS!$Y$7:$Y$1000,"&lt;"&amp;DATE(2026,6,1))</f>
        <v/>
      </c>
      <c r="F15" s="3">
        <f>COUNTIFS(BD_INICIATIVAS!$R$7:$R$1000,$A15,BD_INICIATIVAS!$Y$7:$Y$1000,"&gt;="&amp;DATE(2026,6,1),BD_INICIATIVAS!$Y$7:$Y$1000,"&lt;"&amp;DATE(2026,7,1))</f>
        <v/>
      </c>
      <c r="G15" s="3">
        <f>COUNTIFS(BD_INICIATIVAS!$R$7:$R$1000,$A15,BD_INICIATIVAS!$Y$7:$Y$1000,"&gt;="&amp;DATE(2026,7,1),BD_INICIATIVAS!$Y$7:$Y$1000,"&lt;"&amp;DATE(2026,8,1))</f>
        <v/>
      </c>
      <c r="H15" s="3">
        <f>COUNTIFS(BD_INICIATIVAS!$R$7:$R$1000,$A15,BD_INICIATIVAS!$Y$7:$Y$1000,"&gt;="&amp;DATE(2026,8,1),BD_INICIATIVAS!$Y$7:$Y$1000,"&lt;"&amp;DATE(2026,9,1))</f>
        <v/>
      </c>
      <c r="I15" s="3">
        <f>COUNTIFS(BD_INICIATIVAS!$R$7:$R$1000,$A15,BD_INICIATIVAS!$Y$7:$Y$1000,"&gt;="&amp;DATE(2026,9,1),BD_INICIATIVAS!$Y$7:$Y$1000,"&lt;"&amp;DATE(2026,10,1))</f>
        <v/>
      </c>
      <c r="J15" s="3">
        <f>COUNTIFS(BD_INICIATIVAS!$R$7:$R$1000,$A15,BD_INICIATIVAS!$Y$7:$Y$1000,"&gt;="&amp;DATE(2026,10,1),BD_INICIATIVAS!$Y$7:$Y$1000,"&lt;"&amp;DATE(2026,11,1))</f>
        <v/>
      </c>
      <c r="K15" s="3">
        <f>COUNTIFS(BD_INICIATIVAS!$R$7:$R$1000,$A15,BD_INICIATIVAS!$Y$7:$Y$1000,"&gt;="&amp;DATE(2026,11,1),BD_INICIATIVAS!$Y$7:$Y$1000,"&lt;"&amp;DATE(2026,12,1))</f>
        <v/>
      </c>
      <c r="L15" s="3">
        <f>COUNTIFS(BD_INICIATIVAS!$R$7:$R$1000,$A15,BD_INICIATIVAS!$Y$7:$Y$1000,"&gt;="&amp;DATE(2026,12,1),BD_INICIATIVAS!$Y$7:$Y$1000,"&lt;"&amp;DATE(2027,1,1))</f>
        <v/>
      </c>
      <c r="M15" s="3">
        <f>SUM(B15:L15)</f>
        <v/>
      </c>
    </row>
    <row r="16">
      <c r="A16" s="3" t="inlineStr">
        <is>
          <t>UTP Arequipa</t>
        </is>
      </c>
      <c r="B16" s="3">
        <f>COUNTIFS(BD_INICIATIVAS!$R$7:$R$1000,$A16,BD_INICIATIVAS!$Y$7:$Y$1000,"&lt;"&amp;DATE(2026,3,1))</f>
        <v/>
      </c>
      <c r="C16" s="3">
        <f>COUNTIFS(BD_INICIATIVAS!$R$7:$R$1000,$A16,BD_INICIATIVAS!$Y$7:$Y$1000,"&gt;="&amp;DATE(2026,3,1),BD_INICIATIVAS!$Y$7:$Y$1000,"&lt;"&amp;DATE(2026,4,1))</f>
        <v/>
      </c>
      <c r="D16" s="3">
        <f>COUNTIFS(BD_INICIATIVAS!$R$7:$R$1000,$A16,BD_INICIATIVAS!$Y$7:$Y$1000,"&gt;="&amp;DATE(2026,4,1),BD_INICIATIVAS!$Y$7:$Y$1000,"&lt;"&amp;DATE(2026,5,1))</f>
        <v/>
      </c>
      <c r="E16" s="3">
        <f>COUNTIFS(BD_INICIATIVAS!$R$7:$R$1000,$A16,BD_INICIATIVAS!$Y$7:$Y$1000,"&gt;="&amp;DATE(2026,5,1),BD_INICIATIVAS!$Y$7:$Y$1000,"&lt;"&amp;DATE(2026,6,1))</f>
        <v/>
      </c>
      <c r="F16" s="3">
        <f>COUNTIFS(BD_INICIATIVAS!$R$7:$R$1000,$A16,BD_INICIATIVAS!$Y$7:$Y$1000,"&gt;="&amp;DATE(2026,6,1),BD_INICIATIVAS!$Y$7:$Y$1000,"&lt;"&amp;DATE(2026,7,1))</f>
        <v/>
      </c>
      <c r="G16" s="3">
        <f>COUNTIFS(BD_INICIATIVAS!$R$7:$R$1000,$A16,BD_INICIATIVAS!$Y$7:$Y$1000,"&gt;="&amp;DATE(2026,7,1),BD_INICIATIVAS!$Y$7:$Y$1000,"&lt;"&amp;DATE(2026,8,1))</f>
        <v/>
      </c>
      <c r="H16" s="3">
        <f>COUNTIFS(BD_INICIATIVAS!$R$7:$R$1000,$A16,BD_INICIATIVAS!$Y$7:$Y$1000,"&gt;="&amp;DATE(2026,8,1),BD_INICIATIVAS!$Y$7:$Y$1000,"&lt;"&amp;DATE(2026,9,1))</f>
        <v/>
      </c>
      <c r="I16" s="3">
        <f>COUNTIFS(BD_INICIATIVAS!$R$7:$R$1000,$A16,BD_INICIATIVAS!$Y$7:$Y$1000,"&gt;="&amp;DATE(2026,9,1),BD_INICIATIVAS!$Y$7:$Y$1000,"&lt;"&amp;DATE(2026,10,1))</f>
        <v/>
      </c>
      <c r="J16" s="3">
        <f>COUNTIFS(BD_INICIATIVAS!$R$7:$R$1000,$A16,BD_INICIATIVAS!$Y$7:$Y$1000,"&gt;="&amp;DATE(2026,10,1),BD_INICIATIVAS!$Y$7:$Y$1000,"&lt;"&amp;DATE(2026,11,1))</f>
        <v/>
      </c>
      <c r="K16" s="3">
        <f>COUNTIFS(BD_INICIATIVAS!$R$7:$R$1000,$A16,BD_INICIATIVAS!$Y$7:$Y$1000,"&gt;="&amp;DATE(2026,11,1),BD_INICIATIVAS!$Y$7:$Y$1000,"&lt;"&amp;DATE(2026,12,1))</f>
        <v/>
      </c>
      <c r="L16" s="3">
        <f>COUNTIFS(BD_INICIATIVAS!$R$7:$R$1000,$A16,BD_INICIATIVAS!$Y$7:$Y$1000,"&gt;="&amp;DATE(2026,12,1),BD_INICIATIVAS!$Y$7:$Y$1000,"&lt;"&amp;DATE(2027,1,1))</f>
        <v/>
      </c>
      <c r="M16" s="3">
        <f>SUM(B16:L16)</f>
        <v/>
      </c>
    </row>
    <row r="17">
      <c r="A17" s="3" t="inlineStr">
        <is>
          <t>Corporativo - Natalio</t>
        </is>
      </c>
      <c r="B17" s="3">
        <f>COUNTIFS(BD_INICIATIVAS!$R$7:$R$1000,$A17,BD_INICIATIVAS!$Y$7:$Y$1000,"&lt;"&amp;DATE(2026,3,1))</f>
        <v/>
      </c>
      <c r="C17" s="3">
        <f>COUNTIFS(BD_INICIATIVAS!$R$7:$R$1000,$A17,BD_INICIATIVAS!$Y$7:$Y$1000,"&gt;="&amp;DATE(2026,3,1),BD_INICIATIVAS!$Y$7:$Y$1000,"&lt;"&amp;DATE(2026,4,1))</f>
        <v/>
      </c>
      <c r="D17" s="3">
        <f>COUNTIFS(BD_INICIATIVAS!$R$7:$R$1000,$A17,BD_INICIATIVAS!$Y$7:$Y$1000,"&gt;="&amp;DATE(2026,4,1),BD_INICIATIVAS!$Y$7:$Y$1000,"&lt;"&amp;DATE(2026,5,1))</f>
        <v/>
      </c>
      <c r="E17" s="3">
        <f>COUNTIFS(BD_INICIATIVAS!$R$7:$R$1000,$A17,BD_INICIATIVAS!$Y$7:$Y$1000,"&gt;="&amp;DATE(2026,5,1),BD_INICIATIVAS!$Y$7:$Y$1000,"&lt;"&amp;DATE(2026,6,1))</f>
        <v/>
      </c>
      <c r="F17" s="3">
        <f>COUNTIFS(BD_INICIATIVAS!$R$7:$R$1000,$A17,BD_INICIATIVAS!$Y$7:$Y$1000,"&gt;="&amp;DATE(2026,6,1),BD_INICIATIVAS!$Y$7:$Y$1000,"&lt;"&amp;DATE(2026,7,1))</f>
        <v/>
      </c>
      <c r="G17" s="3">
        <f>COUNTIFS(BD_INICIATIVAS!$R$7:$R$1000,$A17,BD_INICIATIVAS!$Y$7:$Y$1000,"&gt;="&amp;DATE(2026,7,1),BD_INICIATIVAS!$Y$7:$Y$1000,"&lt;"&amp;DATE(2026,8,1))</f>
        <v/>
      </c>
      <c r="H17" s="3">
        <f>COUNTIFS(BD_INICIATIVAS!$R$7:$R$1000,$A17,BD_INICIATIVAS!$Y$7:$Y$1000,"&gt;="&amp;DATE(2026,8,1),BD_INICIATIVAS!$Y$7:$Y$1000,"&lt;"&amp;DATE(2026,9,1))</f>
        <v/>
      </c>
      <c r="I17" s="3">
        <f>COUNTIFS(BD_INICIATIVAS!$R$7:$R$1000,$A17,BD_INICIATIVAS!$Y$7:$Y$1000,"&gt;="&amp;DATE(2026,9,1),BD_INICIATIVAS!$Y$7:$Y$1000,"&lt;"&amp;DATE(2026,10,1))</f>
        <v/>
      </c>
      <c r="J17" s="3">
        <f>COUNTIFS(BD_INICIATIVAS!$R$7:$R$1000,$A17,BD_INICIATIVAS!$Y$7:$Y$1000,"&gt;="&amp;DATE(2026,10,1),BD_INICIATIVAS!$Y$7:$Y$1000,"&lt;"&amp;DATE(2026,11,1))</f>
        <v/>
      </c>
      <c r="K17" s="3">
        <f>COUNTIFS(BD_INICIATIVAS!$R$7:$R$1000,$A17,BD_INICIATIVAS!$Y$7:$Y$1000,"&gt;="&amp;DATE(2026,11,1),BD_INICIATIVAS!$Y$7:$Y$1000,"&lt;"&amp;DATE(2026,12,1))</f>
        <v/>
      </c>
      <c r="L17" s="3">
        <f>COUNTIFS(BD_INICIATIVAS!$R$7:$R$1000,$A17,BD_INICIATIVAS!$Y$7:$Y$1000,"&gt;="&amp;DATE(2026,12,1),BD_INICIATIVAS!$Y$7:$Y$1000,"&lt;"&amp;DATE(2027,1,1))</f>
        <v/>
      </c>
      <c r="M17" s="3">
        <f>SUM(B17:L17)</f>
        <v/>
      </c>
    </row>
    <row r="18">
      <c r="A18" s="3" t="inlineStr">
        <is>
          <t>UTP Iquitos</t>
        </is>
      </c>
      <c r="B18" s="3">
        <f>COUNTIFS(BD_INICIATIVAS!$R$7:$R$1000,$A18,BD_INICIATIVAS!$Y$7:$Y$1000,"&lt;"&amp;DATE(2026,3,1))</f>
        <v/>
      </c>
      <c r="C18" s="3">
        <f>COUNTIFS(BD_INICIATIVAS!$R$7:$R$1000,$A18,BD_INICIATIVAS!$Y$7:$Y$1000,"&gt;="&amp;DATE(2026,3,1),BD_INICIATIVAS!$Y$7:$Y$1000,"&lt;"&amp;DATE(2026,4,1))</f>
        <v/>
      </c>
      <c r="D18" s="3">
        <f>COUNTIFS(BD_INICIATIVAS!$R$7:$R$1000,$A18,BD_INICIATIVAS!$Y$7:$Y$1000,"&gt;="&amp;DATE(2026,4,1),BD_INICIATIVAS!$Y$7:$Y$1000,"&lt;"&amp;DATE(2026,5,1))</f>
        <v/>
      </c>
      <c r="E18" s="3">
        <f>COUNTIFS(BD_INICIATIVAS!$R$7:$R$1000,$A18,BD_INICIATIVAS!$Y$7:$Y$1000,"&gt;="&amp;DATE(2026,5,1),BD_INICIATIVAS!$Y$7:$Y$1000,"&lt;"&amp;DATE(2026,6,1))</f>
        <v/>
      </c>
      <c r="F18" s="3">
        <f>COUNTIFS(BD_INICIATIVAS!$R$7:$R$1000,$A18,BD_INICIATIVAS!$Y$7:$Y$1000,"&gt;="&amp;DATE(2026,6,1),BD_INICIATIVAS!$Y$7:$Y$1000,"&lt;"&amp;DATE(2026,7,1))</f>
        <v/>
      </c>
      <c r="G18" s="3">
        <f>COUNTIFS(BD_INICIATIVAS!$R$7:$R$1000,$A18,BD_INICIATIVAS!$Y$7:$Y$1000,"&gt;="&amp;DATE(2026,7,1),BD_INICIATIVAS!$Y$7:$Y$1000,"&lt;"&amp;DATE(2026,8,1))</f>
        <v/>
      </c>
      <c r="H18" s="3">
        <f>COUNTIFS(BD_INICIATIVAS!$R$7:$R$1000,$A18,BD_INICIATIVAS!$Y$7:$Y$1000,"&gt;="&amp;DATE(2026,8,1),BD_INICIATIVAS!$Y$7:$Y$1000,"&lt;"&amp;DATE(2026,9,1))</f>
        <v/>
      </c>
      <c r="I18" s="3">
        <f>COUNTIFS(BD_INICIATIVAS!$R$7:$R$1000,$A18,BD_INICIATIVAS!$Y$7:$Y$1000,"&gt;="&amp;DATE(2026,9,1),BD_INICIATIVAS!$Y$7:$Y$1000,"&lt;"&amp;DATE(2026,10,1))</f>
        <v/>
      </c>
      <c r="J18" s="3">
        <f>COUNTIFS(BD_INICIATIVAS!$R$7:$R$1000,$A18,BD_INICIATIVAS!$Y$7:$Y$1000,"&gt;="&amp;DATE(2026,10,1),BD_INICIATIVAS!$Y$7:$Y$1000,"&lt;"&amp;DATE(2026,11,1))</f>
        <v/>
      </c>
      <c r="K18" s="3">
        <f>COUNTIFS(BD_INICIATIVAS!$R$7:$R$1000,$A18,BD_INICIATIVAS!$Y$7:$Y$1000,"&gt;="&amp;DATE(2026,11,1),BD_INICIATIVAS!$Y$7:$Y$1000,"&lt;"&amp;DATE(2026,12,1))</f>
        <v/>
      </c>
      <c r="L18" s="3">
        <f>COUNTIFS(BD_INICIATIVAS!$R$7:$R$1000,$A18,BD_INICIATIVAS!$Y$7:$Y$1000,"&gt;="&amp;DATE(2026,12,1),BD_INICIATIVAS!$Y$7:$Y$1000,"&lt;"&amp;DATE(2027,1,1))</f>
        <v/>
      </c>
      <c r="M18" s="3">
        <f>SUM(B18:L18)</f>
        <v/>
      </c>
    </row>
    <row r="19">
      <c r="A19" s="3" t="inlineStr">
        <is>
          <t>UTP Pucallpa</t>
        </is>
      </c>
      <c r="B19" s="3">
        <f>COUNTIFS(BD_INICIATIVAS!$R$7:$R$1000,$A19,BD_INICIATIVAS!$Y$7:$Y$1000,"&lt;"&amp;DATE(2026,3,1))</f>
        <v/>
      </c>
      <c r="C19" s="3">
        <f>COUNTIFS(BD_INICIATIVAS!$R$7:$R$1000,$A19,BD_INICIATIVAS!$Y$7:$Y$1000,"&gt;="&amp;DATE(2026,3,1),BD_INICIATIVAS!$Y$7:$Y$1000,"&lt;"&amp;DATE(2026,4,1))</f>
        <v/>
      </c>
      <c r="D19" s="3">
        <f>COUNTIFS(BD_INICIATIVAS!$R$7:$R$1000,$A19,BD_INICIATIVAS!$Y$7:$Y$1000,"&gt;="&amp;DATE(2026,4,1),BD_INICIATIVAS!$Y$7:$Y$1000,"&lt;"&amp;DATE(2026,5,1))</f>
        <v/>
      </c>
      <c r="E19" s="3">
        <f>COUNTIFS(BD_INICIATIVAS!$R$7:$R$1000,$A19,BD_INICIATIVAS!$Y$7:$Y$1000,"&gt;="&amp;DATE(2026,5,1),BD_INICIATIVAS!$Y$7:$Y$1000,"&lt;"&amp;DATE(2026,6,1))</f>
        <v/>
      </c>
      <c r="F19" s="3">
        <f>COUNTIFS(BD_INICIATIVAS!$R$7:$R$1000,$A19,BD_INICIATIVAS!$Y$7:$Y$1000,"&gt;="&amp;DATE(2026,6,1),BD_INICIATIVAS!$Y$7:$Y$1000,"&lt;"&amp;DATE(2026,7,1))</f>
        <v/>
      </c>
      <c r="G19" s="3">
        <f>COUNTIFS(BD_INICIATIVAS!$R$7:$R$1000,$A19,BD_INICIATIVAS!$Y$7:$Y$1000,"&gt;="&amp;DATE(2026,7,1),BD_INICIATIVAS!$Y$7:$Y$1000,"&lt;"&amp;DATE(2026,8,1))</f>
        <v/>
      </c>
      <c r="H19" s="3">
        <f>COUNTIFS(BD_INICIATIVAS!$R$7:$R$1000,$A19,BD_INICIATIVAS!$Y$7:$Y$1000,"&gt;="&amp;DATE(2026,8,1),BD_INICIATIVAS!$Y$7:$Y$1000,"&lt;"&amp;DATE(2026,9,1))</f>
        <v/>
      </c>
      <c r="I19" s="3">
        <f>COUNTIFS(BD_INICIATIVAS!$R$7:$R$1000,$A19,BD_INICIATIVAS!$Y$7:$Y$1000,"&gt;="&amp;DATE(2026,9,1),BD_INICIATIVAS!$Y$7:$Y$1000,"&lt;"&amp;DATE(2026,10,1))</f>
        <v/>
      </c>
      <c r="J19" s="3">
        <f>COUNTIFS(BD_INICIATIVAS!$R$7:$R$1000,$A19,BD_INICIATIVAS!$Y$7:$Y$1000,"&gt;="&amp;DATE(2026,10,1),BD_INICIATIVAS!$Y$7:$Y$1000,"&lt;"&amp;DATE(2026,11,1))</f>
        <v/>
      </c>
      <c r="K19" s="3">
        <f>COUNTIFS(BD_INICIATIVAS!$R$7:$R$1000,$A19,BD_INICIATIVAS!$Y$7:$Y$1000,"&gt;="&amp;DATE(2026,11,1),BD_INICIATIVAS!$Y$7:$Y$1000,"&lt;"&amp;DATE(2026,12,1))</f>
        <v/>
      </c>
      <c r="L19" s="3">
        <f>COUNTIFS(BD_INICIATIVAS!$R$7:$R$1000,$A19,BD_INICIATIVAS!$Y$7:$Y$1000,"&gt;="&amp;DATE(2026,12,1),BD_INICIATIVAS!$Y$7:$Y$1000,"&lt;"&amp;DATE(2027,1,1))</f>
        <v/>
      </c>
      <c r="M19" s="3">
        <f>SUM(B19:L19)</f>
        <v/>
      </c>
    </row>
    <row r="20">
      <c r="A20" s="3" t="inlineStr">
        <is>
          <t>UTP Tacna</t>
        </is>
      </c>
      <c r="B20" s="3">
        <f>COUNTIFS(BD_INICIATIVAS!$R$7:$R$1000,$A20,BD_INICIATIVAS!$Y$7:$Y$1000,"&lt;"&amp;DATE(2026,3,1))</f>
        <v/>
      </c>
      <c r="C20" s="3">
        <f>COUNTIFS(BD_INICIATIVAS!$R$7:$R$1000,$A20,BD_INICIATIVAS!$Y$7:$Y$1000,"&gt;="&amp;DATE(2026,3,1),BD_INICIATIVAS!$Y$7:$Y$1000,"&lt;"&amp;DATE(2026,4,1))</f>
        <v/>
      </c>
      <c r="D20" s="3">
        <f>COUNTIFS(BD_INICIATIVAS!$R$7:$R$1000,$A20,BD_INICIATIVAS!$Y$7:$Y$1000,"&gt;="&amp;DATE(2026,4,1),BD_INICIATIVAS!$Y$7:$Y$1000,"&lt;"&amp;DATE(2026,5,1))</f>
        <v/>
      </c>
      <c r="E20" s="3">
        <f>COUNTIFS(BD_INICIATIVAS!$R$7:$R$1000,$A20,BD_INICIATIVAS!$Y$7:$Y$1000,"&gt;="&amp;DATE(2026,5,1),BD_INICIATIVAS!$Y$7:$Y$1000,"&lt;"&amp;DATE(2026,6,1))</f>
        <v/>
      </c>
      <c r="F20" s="3">
        <f>COUNTIFS(BD_INICIATIVAS!$R$7:$R$1000,$A20,BD_INICIATIVAS!$Y$7:$Y$1000,"&gt;="&amp;DATE(2026,6,1),BD_INICIATIVAS!$Y$7:$Y$1000,"&lt;"&amp;DATE(2026,7,1))</f>
        <v/>
      </c>
      <c r="G20" s="3">
        <f>COUNTIFS(BD_INICIATIVAS!$R$7:$R$1000,$A20,BD_INICIATIVAS!$Y$7:$Y$1000,"&gt;="&amp;DATE(2026,7,1),BD_INICIATIVAS!$Y$7:$Y$1000,"&lt;"&amp;DATE(2026,8,1))</f>
        <v/>
      </c>
      <c r="H20" s="3">
        <f>COUNTIFS(BD_INICIATIVAS!$R$7:$R$1000,$A20,BD_INICIATIVAS!$Y$7:$Y$1000,"&gt;="&amp;DATE(2026,8,1),BD_INICIATIVAS!$Y$7:$Y$1000,"&lt;"&amp;DATE(2026,9,1))</f>
        <v/>
      </c>
      <c r="I20" s="3">
        <f>COUNTIFS(BD_INICIATIVAS!$R$7:$R$1000,$A20,BD_INICIATIVAS!$Y$7:$Y$1000,"&gt;="&amp;DATE(2026,9,1),BD_INICIATIVAS!$Y$7:$Y$1000,"&lt;"&amp;DATE(2026,10,1))</f>
        <v/>
      </c>
      <c r="J20" s="3">
        <f>COUNTIFS(BD_INICIATIVAS!$R$7:$R$1000,$A20,BD_INICIATIVAS!$Y$7:$Y$1000,"&gt;="&amp;DATE(2026,10,1),BD_INICIATIVAS!$Y$7:$Y$1000,"&lt;"&amp;DATE(2026,11,1))</f>
        <v/>
      </c>
      <c r="K20" s="3">
        <f>COUNTIFS(BD_INICIATIVAS!$R$7:$R$1000,$A20,BD_INICIATIVAS!$Y$7:$Y$1000,"&gt;="&amp;DATE(2026,11,1),BD_INICIATIVAS!$Y$7:$Y$1000,"&lt;"&amp;DATE(2026,12,1))</f>
        <v/>
      </c>
      <c r="L20" s="3">
        <f>COUNTIFS(BD_INICIATIVAS!$R$7:$R$1000,$A20,BD_INICIATIVAS!$Y$7:$Y$1000,"&gt;="&amp;DATE(2026,12,1),BD_INICIATIVAS!$Y$7:$Y$1000,"&lt;"&amp;DATE(2027,1,1))</f>
        <v/>
      </c>
      <c r="M20" s="3">
        <f>SUM(B20:L20)</f>
        <v/>
      </c>
    </row>
    <row r="21">
      <c r="A21" s="3" t="inlineStr">
        <is>
          <t>UTP EPG Salaverry</t>
        </is>
      </c>
      <c r="B21" s="3">
        <f>COUNTIFS(BD_INICIATIVAS!$R$7:$R$1000,$A21,BD_INICIATIVAS!$Y$7:$Y$1000,"&lt;"&amp;DATE(2026,3,1))</f>
        <v/>
      </c>
      <c r="C21" s="3">
        <f>COUNTIFS(BD_INICIATIVAS!$R$7:$R$1000,$A21,BD_INICIATIVAS!$Y$7:$Y$1000,"&gt;="&amp;DATE(2026,3,1),BD_INICIATIVAS!$Y$7:$Y$1000,"&lt;"&amp;DATE(2026,4,1))</f>
        <v/>
      </c>
      <c r="D21" s="3">
        <f>COUNTIFS(BD_INICIATIVAS!$R$7:$R$1000,$A21,BD_INICIATIVAS!$Y$7:$Y$1000,"&gt;="&amp;DATE(2026,4,1),BD_INICIATIVAS!$Y$7:$Y$1000,"&lt;"&amp;DATE(2026,5,1))</f>
        <v/>
      </c>
      <c r="E21" s="3">
        <f>COUNTIFS(BD_INICIATIVAS!$R$7:$R$1000,$A21,BD_INICIATIVAS!$Y$7:$Y$1000,"&gt;="&amp;DATE(2026,5,1),BD_INICIATIVAS!$Y$7:$Y$1000,"&lt;"&amp;DATE(2026,6,1))</f>
        <v/>
      </c>
      <c r="F21" s="3">
        <f>COUNTIFS(BD_INICIATIVAS!$R$7:$R$1000,$A21,BD_INICIATIVAS!$Y$7:$Y$1000,"&gt;="&amp;DATE(2026,6,1),BD_INICIATIVAS!$Y$7:$Y$1000,"&lt;"&amp;DATE(2026,7,1))</f>
        <v/>
      </c>
      <c r="G21" s="3">
        <f>COUNTIFS(BD_INICIATIVAS!$R$7:$R$1000,$A21,BD_INICIATIVAS!$Y$7:$Y$1000,"&gt;="&amp;DATE(2026,7,1),BD_INICIATIVAS!$Y$7:$Y$1000,"&lt;"&amp;DATE(2026,8,1))</f>
        <v/>
      </c>
      <c r="H21" s="3">
        <f>COUNTIFS(BD_INICIATIVAS!$R$7:$R$1000,$A21,BD_INICIATIVAS!$Y$7:$Y$1000,"&gt;="&amp;DATE(2026,8,1),BD_INICIATIVAS!$Y$7:$Y$1000,"&lt;"&amp;DATE(2026,9,1))</f>
        <v/>
      </c>
      <c r="I21" s="3">
        <f>COUNTIFS(BD_INICIATIVAS!$R$7:$R$1000,$A21,BD_INICIATIVAS!$Y$7:$Y$1000,"&gt;="&amp;DATE(2026,9,1),BD_INICIATIVAS!$Y$7:$Y$1000,"&lt;"&amp;DATE(2026,10,1))</f>
        <v/>
      </c>
      <c r="J21" s="3">
        <f>COUNTIFS(BD_INICIATIVAS!$R$7:$R$1000,$A21,BD_INICIATIVAS!$Y$7:$Y$1000,"&gt;="&amp;DATE(2026,10,1),BD_INICIATIVAS!$Y$7:$Y$1000,"&lt;"&amp;DATE(2026,11,1))</f>
        <v/>
      </c>
      <c r="K21" s="3">
        <f>COUNTIFS(BD_INICIATIVAS!$R$7:$R$1000,$A21,BD_INICIATIVAS!$Y$7:$Y$1000,"&gt;="&amp;DATE(2026,11,1),BD_INICIATIVAS!$Y$7:$Y$1000,"&lt;"&amp;DATE(2026,12,1))</f>
        <v/>
      </c>
      <c r="L21" s="3">
        <f>COUNTIFS(BD_INICIATIVAS!$R$7:$R$1000,$A21,BD_INICIATIVAS!$Y$7:$Y$1000,"&gt;="&amp;DATE(2026,12,1),BD_INICIATIVAS!$Y$7:$Y$1000,"&lt;"&amp;DATE(2027,1,1))</f>
        <v/>
      </c>
      <c r="M21" s="3">
        <f>SUM(B21:L21)</f>
        <v/>
      </c>
    </row>
    <row r="22">
      <c r="A22" s="10" t="inlineStr">
        <is>
          <t>Total general</t>
        </is>
      </c>
      <c r="B22" s="10">
        <f>SUM(B5:B21)</f>
        <v/>
      </c>
      <c r="C22" s="10">
        <f>SUM(C5:C21)</f>
        <v/>
      </c>
      <c r="D22" s="10">
        <f>SUM(D5:D21)</f>
        <v/>
      </c>
      <c r="E22" s="10">
        <f>SUM(E5:E21)</f>
        <v/>
      </c>
      <c r="F22" s="10">
        <f>SUM(F5:F21)</f>
        <v/>
      </c>
      <c r="G22" s="10">
        <f>SUM(G5:G21)</f>
        <v/>
      </c>
      <c r="H22" s="10">
        <f>SUM(H5:H21)</f>
        <v/>
      </c>
      <c r="I22" s="10">
        <f>SUM(I5:I21)</f>
        <v/>
      </c>
      <c r="J22" s="10">
        <f>SUM(J5:J21)</f>
        <v/>
      </c>
      <c r="K22" s="10">
        <f>SUM(K5:K21)</f>
        <v/>
      </c>
      <c r="L22" s="10">
        <f>SUM(L5:L21)</f>
        <v/>
      </c>
      <c r="M22" s="10">
        <f>SUM(M5:M21)</f>
        <v/>
      </c>
    </row>
  </sheetData>
  <autoFilter ref="A4:M22"/>
  <mergeCells count="1">
    <mergeCell ref="B3:M3"/>
  </mergeCells>
  <pageMargins left="0.75" right="0.75" top="1" bottom="1" header="0.5" footer="0.5"/>
  <pageSetup fitToHeight="0" fitToWidth="1"/>
</worksheet>
</file>

<file path=xl/worksheets/sheet17.xml><?xml version="1.0" encoding="utf-8"?>
<worksheet xmlns="http://schemas.openxmlformats.org/spreadsheetml/2006/main">
  <sheetPr>
    <outlinePr summaryBelow="1" summaryRight="1"/>
    <pageSetUpPr fitToPage="1"/>
  </sheetPr>
  <dimension ref="A1:C18"/>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18" customWidth="1" min="3" max="3"/>
  </cols>
  <sheetData>
    <row r="1" ht="30" customHeight="1">
      <c r="A1" s="1" t="inlineStr">
        <is>
          <t>ESTADOS</t>
        </is>
      </c>
      <c r="B1" s="1" t="inlineStr">
        <is>
          <t>CAMPUS</t>
        </is>
      </c>
      <c r="C1" s="1" t="inlineStr">
        <is>
          <t>MESES</t>
        </is>
      </c>
    </row>
    <row r="2">
      <c r="A2" s="3" t="inlineStr">
        <is>
          <t>EJECUTADO</t>
        </is>
      </c>
      <c r="B2" s="3" t="inlineStr">
        <is>
          <t>UTP SJL</t>
        </is>
      </c>
      <c r="C2" s="3" t="inlineStr">
        <is>
          <t>&lt;1/03/2026</t>
        </is>
      </c>
    </row>
    <row r="3">
      <c r="A3" s="3" t="inlineStr">
        <is>
          <t>EN PROCESO</t>
        </is>
      </c>
      <c r="B3" s="3" t="inlineStr">
        <is>
          <t>UTP Piura</t>
        </is>
      </c>
      <c r="C3" s="3" t="inlineStr">
        <is>
          <t>Mar</t>
        </is>
      </c>
    </row>
    <row r="4">
      <c r="A4" s="3" t="inlineStr">
        <is>
          <t>PENDIENTE</t>
        </is>
      </c>
      <c r="B4" s="3" t="inlineStr">
        <is>
          <t>UTP Trujillo</t>
        </is>
      </c>
      <c r="C4" s="3" t="inlineStr">
        <is>
          <t>Abr</t>
        </is>
      </c>
    </row>
    <row r="5">
      <c r="A5" s="3" t="inlineStr">
        <is>
          <t>CANCELADO</t>
        </is>
      </c>
      <c r="B5" s="3" t="inlineStr">
        <is>
          <t>UTP Lima Norte</t>
        </is>
      </c>
      <c r="C5" s="3" t="inlineStr">
        <is>
          <t>May</t>
        </is>
      </c>
    </row>
    <row r="6">
      <c r="B6" s="3" t="inlineStr">
        <is>
          <t>UTP Chimbote</t>
        </is>
      </c>
      <c r="C6" s="3" t="inlineStr">
        <is>
          <t>Jun</t>
        </is>
      </c>
    </row>
    <row r="7">
      <c r="B7" s="3" t="inlineStr">
        <is>
          <t>UTP Lima Centro</t>
        </is>
      </c>
      <c r="C7" s="3" t="inlineStr">
        <is>
          <t>Jul</t>
        </is>
      </c>
    </row>
    <row r="8">
      <c r="B8" s="3" t="inlineStr">
        <is>
          <t>UTP Lima Este</t>
        </is>
      </c>
      <c r="C8" s="3" t="inlineStr">
        <is>
          <t>Ago</t>
        </is>
      </c>
    </row>
    <row r="9">
      <c r="B9" s="3" t="inlineStr">
        <is>
          <t>UTP Lima Sur</t>
        </is>
      </c>
      <c r="C9" s="3" t="inlineStr">
        <is>
          <t>Set</t>
        </is>
      </c>
    </row>
    <row r="10">
      <c r="B10" s="3" t="inlineStr">
        <is>
          <t>UTP Ica</t>
        </is>
      </c>
      <c r="C10" s="3" t="inlineStr">
        <is>
          <t>Oct</t>
        </is>
      </c>
    </row>
    <row r="11">
      <c r="B11" s="3" t="inlineStr">
        <is>
          <t>UTP Chiclayo</t>
        </is>
      </c>
      <c r="C11" s="3" t="inlineStr">
        <is>
          <t>Nov</t>
        </is>
      </c>
    </row>
    <row r="12">
      <c r="B12" s="3" t="inlineStr">
        <is>
          <t>UTP Huancayo</t>
        </is>
      </c>
      <c r="C12" s="3" t="inlineStr">
        <is>
          <t>Dic</t>
        </is>
      </c>
    </row>
    <row r="13">
      <c r="B13" s="3" t="inlineStr">
        <is>
          <t>UTP Arequipa</t>
        </is>
      </c>
    </row>
    <row r="14">
      <c r="B14" s="3" t="inlineStr">
        <is>
          <t>Corporativo - Natalio</t>
        </is>
      </c>
    </row>
    <row r="15">
      <c r="B15" s="3" t="inlineStr">
        <is>
          <t>UTP Iquitos</t>
        </is>
      </c>
    </row>
    <row r="16">
      <c r="B16" s="3" t="inlineStr">
        <is>
          <t>UTP Pucallpa</t>
        </is>
      </c>
    </row>
    <row r="17">
      <c r="B17" s="3" t="inlineStr">
        <is>
          <t>UTP Tacna</t>
        </is>
      </c>
    </row>
    <row r="18">
      <c r="B18" s="3" t="inlineStr">
        <is>
          <t>UTP EPG Salaverry</t>
        </is>
      </c>
    </row>
  </sheetData>
  <pageMargins left="0.75" right="0.75" top="1" bottom="1" header="0.5" footer="0.5"/>
  <pageSetup fitToHeight="0" fitToWidth="1"/>
</worksheet>
</file>

<file path=xl/worksheets/sheet18.xml><?xml version="1.0" encoding="utf-8"?>
<worksheet xmlns="http://schemas.openxmlformats.org/spreadsheetml/2006/main">
  <sheetPr>
    <outlinePr summaryBelow="1" summaryRight="1"/>
    <pageSetUpPr/>
  </sheetPr>
  <dimension ref="A1:O18"/>
  <sheetViews>
    <sheetView showGridLines="0" workbookViewId="0">
      <pane ySplit="1" topLeftCell="A2"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4" customWidth="1" min="15" max="15"/>
  </cols>
  <sheetData>
    <row r="1">
      <c r="A1" s="8" t="inlineStr">
        <is>
          <t>campus</t>
        </is>
      </c>
      <c r="B1" s="8" t="inlineStr">
        <is>
          <t>fecha_inicio_texto</t>
        </is>
      </c>
      <c r="C1" s="8" t="inlineStr">
        <is>
          <t>fecha_fin_texto</t>
        </is>
      </c>
      <c r="D1" s="8" t="inlineStr">
        <is>
          <t>menor_01_03_2026</t>
        </is>
      </c>
      <c r="E1" s="8" t="inlineStr">
        <is>
          <t>mar</t>
        </is>
      </c>
      <c r="F1" s="8" t="inlineStr">
        <is>
          <t>abr</t>
        </is>
      </c>
      <c r="G1" s="8" t="inlineStr">
        <is>
          <t>may</t>
        </is>
      </c>
      <c r="H1" s="8" t="inlineStr">
        <is>
          <t>jun</t>
        </is>
      </c>
      <c r="I1" s="8" t="inlineStr">
        <is>
          <t>jul</t>
        </is>
      </c>
      <c r="J1" s="8" t="inlineStr">
        <is>
          <t>ago</t>
        </is>
      </c>
      <c r="K1" s="8" t="inlineStr">
        <is>
          <t>set</t>
        </is>
      </c>
      <c r="L1" s="8" t="inlineStr">
        <is>
          <t>oct</t>
        </is>
      </c>
      <c r="M1" s="8" t="inlineStr">
        <is>
          <t>nov</t>
        </is>
      </c>
      <c r="N1" s="8" t="inlineStr">
        <is>
          <t>dic</t>
        </is>
      </c>
      <c r="O1" s="8" t="inlineStr">
        <is>
          <t>total</t>
        </is>
      </c>
    </row>
    <row r="2">
      <c r="A2" t="inlineStr">
        <is>
          <t>UTP SJL</t>
        </is>
      </c>
      <c r="D2" t="n">
        <v>0</v>
      </c>
      <c r="E2" t="n">
        <v>1</v>
      </c>
      <c r="F2" t="n">
        <v>0</v>
      </c>
      <c r="G2" t="n">
        <v>1</v>
      </c>
      <c r="H2" t="n">
        <v>1</v>
      </c>
      <c r="I2" t="n">
        <v>0</v>
      </c>
      <c r="J2" t="n">
        <v>3</v>
      </c>
      <c r="K2" t="n">
        <v>3</v>
      </c>
      <c r="L2" t="n">
        <v>1</v>
      </c>
      <c r="M2" t="n">
        <v>2</v>
      </c>
      <c r="N2" t="n">
        <v>1</v>
      </c>
      <c r="O2" t="n">
        <v>13</v>
      </c>
    </row>
    <row r="3">
      <c r="A3" t="inlineStr">
        <is>
          <t>UTP Piura</t>
        </is>
      </c>
      <c r="D3" t="n">
        <v>0</v>
      </c>
      <c r="E3" t="n">
        <v>2</v>
      </c>
      <c r="F3" t="n">
        <v>0</v>
      </c>
      <c r="G3" t="n">
        <v>2</v>
      </c>
      <c r="H3" t="n">
        <v>1</v>
      </c>
      <c r="I3" t="n">
        <v>0</v>
      </c>
      <c r="J3" t="n">
        <v>2</v>
      </c>
      <c r="K3" t="n">
        <v>0</v>
      </c>
      <c r="L3" t="n">
        <v>3</v>
      </c>
      <c r="M3" t="n">
        <v>3</v>
      </c>
      <c r="N3" t="n">
        <v>1</v>
      </c>
      <c r="O3" t="n">
        <v>14</v>
      </c>
    </row>
    <row r="4">
      <c r="A4" t="inlineStr">
        <is>
          <t>UTP Trujillo</t>
        </is>
      </c>
      <c r="D4" t="n">
        <v>0</v>
      </c>
      <c r="E4" t="n">
        <v>1</v>
      </c>
      <c r="F4" t="n">
        <v>0</v>
      </c>
      <c r="G4" t="n">
        <v>1</v>
      </c>
      <c r="H4" t="n">
        <v>2</v>
      </c>
      <c r="I4" t="n">
        <v>0</v>
      </c>
      <c r="J4" t="n">
        <v>3</v>
      </c>
      <c r="K4" t="n">
        <v>1</v>
      </c>
      <c r="L4" t="n">
        <v>1</v>
      </c>
      <c r="M4" t="n">
        <v>2</v>
      </c>
      <c r="N4" t="n">
        <v>1</v>
      </c>
      <c r="O4" t="n">
        <v>12</v>
      </c>
    </row>
    <row r="5">
      <c r="A5" t="inlineStr">
        <is>
          <t>UTP Lima Norte</t>
        </is>
      </c>
      <c r="D5" t="n">
        <v>0</v>
      </c>
      <c r="E5" t="n">
        <v>2</v>
      </c>
      <c r="F5" t="n">
        <v>0</v>
      </c>
      <c r="G5" t="n">
        <v>0</v>
      </c>
      <c r="H5" t="n">
        <v>1</v>
      </c>
      <c r="I5" t="n">
        <v>0</v>
      </c>
      <c r="J5" t="n">
        <v>1</v>
      </c>
      <c r="K5" t="n">
        <v>2</v>
      </c>
      <c r="L5" t="n">
        <v>2</v>
      </c>
      <c r="M5" t="n">
        <v>4</v>
      </c>
      <c r="N5" t="n">
        <v>1</v>
      </c>
      <c r="O5" t="n">
        <v>13</v>
      </c>
    </row>
    <row r="6">
      <c r="A6" t="inlineStr">
        <is>
          <t>UTP Chimbote</t>
        </is>
      </c>
      <c r="D6" t="n">
        <v>0</v>
      </c>
      <c r="E6" t="n">
        <v>1</v>
      </c>
      <c r="F6" t="n">
        <v>0</v>
      </c>
      <c r="G6" t="n">
        <v>1</v>
      </c>
      <c r="H6" t="n">
        <v>3</v>
      </c>
      <c r="I6" t="n">
        <v>0</v>
      </c>
      <c r="J6" t="n">
        <v>2</v>
      </c>
      <c r="K6" t="n">
        <v>0</v>
      </c>
      <c r="L6" t="n">
        <v>1</v>
      </c>
      <c r="M6" t="n">
        <v>2</v>
      </c>
      <c r="N6" t="n">
        <v>1</v>
      </c>
      <c r="O6" t="n">
        <v>11</v>
      </c>
    </row>
    <row r="7">
      <c r="A7" t="inlineStr">
        <is>
          <t>UTP Lima Centro</t>
        </is>
      </c>
      <c r="D7" t="n">
        <v>0</v>
      </c>
      <c r="E7" t="n">
        <v>7</v>
      </c>
      <c r="F7" t="n">
        <v>1</v>
      </c>
      <c r="G7" t="n">
        <v>6</v>
      </c>
      <c r="H7" t="n">
        <v>5</v>
      </c>
      <c r="I7" t="n">
        <v>3</v>
      </c>
      <c r="J7" t="n">
        <v>12</v>
      </c>
      <c r="K7" t="n">
        <v>5</v>
      </c>
      <c r="L7" t="n">
        <v>10</v>
      </c>
      <c r="M7" t="n">
        <v>10</v>
      </c>
      <c r="N7" t="n">
        <v>4</v>
      </c>
      <c r="O7" t="n">
        <v>63</v>
      </c>
    </row>
    <row r="8">
      <c r="A8" t="inlineStr">
        <is>
          <t>UTP Lima Este</t>
        </is>
      </c>
      <c r="D8" t="n">
        <v>0</v>
      </c>
      <c r="E8" t="n">
        <v>3</v>
      </c>
      <c r="F8" t="n">
        <v>0</v>
      </c>
      <c r="G8" t="n">
        <v>0</v>
      </c>
      <c r="H8" t="n">
        <v>1</v>
      </c>
      <c r="I8" t="n">
        <v>0</v>
      </c>
      <c r="J8" t="n">
        <v>3</v>
      </c>
      <c r="K8" t="n">
        <v>1</v>
      </c>
      <c r="L8" t="n">
        <v>1</v>
      </c>
      <c r="M8" t="n">
        <v>2</v>
      </c>
      <c r="N8" t="n">
        <v>1</v>
      </c>
      <c r="O8" t="n">
        <v>12</v>
      </c>
    </row>
    <row r="9">
      <c r="A9" t="inlineStr">
        <is>
          <t>UTP Lima Sur</t>
        </is>
      </c>
      <c r="D9" t="n">
        <v>0</v>
      </c>
      <c r="E9" t="n">
        <v>5</v>
      </c>
      <c r="F9" t="n">
        <v>1</v>
      </c>
      <c r="G9" t="n">
        <v>0</v>
      </c>
      <c r="H9" t="n">
        <v>1</v>
      </c>
      <c r="I9" t="n">
        <v>0</v>
      </c>
      <c r="J9" t="n">
        <v>2</v>
      </c>
      <c r="K9" t="n">
        <v>0</v>
      </c>
      <c r="L9" t="n">
        <v>2</v>
      </c>
      <c r="M9" t="n">
        <v>2</v>
      </c>
      <c r="N9" t="n">
        <v>1</v>
      </c>
      <c r="O9" t="n">
        <v>14</v>
      </c>
    </row>
    <row r="10">
      <c r="A10" t="inlineStr">
        <is>
          <t>UTP Ica</t>
        </is>
      </c>
      <c r="D10" t="n">
        <v>0</v>
      </c>
      <c r="E10" t="n">
        <v>0</v>
      </c>
      <c r="F10" t="n">
        <v>0</v>
      </c>
      <c r="G10" t="n">
        <v>2</v>
      </c>
      <c r="H10" t="n">
        <v>2</v>
      </c>
      <c r="I10" t="n">
        <v>0</v>
      </c>
      <c r="J10" t="n">
        <v>2</v>
      </c>
      <c r="K10" t="n">
        <v>1</v>
      </c>
      <c r="L10" t="n">
        <v>2</v>
      </c>
      <c r="M10" t="n">
        <v>2</v>
      </c>
      <c r="N10" t="n">
        <v>1</v>
      </c>
      <c r="O10" t="n">
        <v>12</v>
      </c>
    </row>
    <row r="11">
      <c r="A11" t="inlineStr">
        <is>
          <t>UTP Chiclayo</t>
        </is>
      </c>
      <c r="D11" t="n">
        <v>0</v>
      </c>
      <c r="E11" t="n">
        <v>3</v>
      </c>
      <c r="F11" t="n">
        <v>0</v>
      </c>
      <c r="G11" t="n">
        <v>1</v>
      </c>
      <c r="H11" t="n">
        <v>2</v>
      </c>
      <c r="I11" t="n">
        <v>0</v>
      </c>
      <c r="J11" t="n">
        <v>4</v>
      </c>
      <c r="K11" t="n">
        <v>1</v>
      </c>
      <c r="L11" t="n">
        <v>2</v>
      </c>
      <c r="M11" t="n">
        <v>4</v>
      </c>
      <c r="N11" t="n">
        <v>1</v>
      </c>
      <c r="O11" t="n">
        <v>18</v>
      </c>
    </row>
    <row r="12">
      <c r="A12" t="inlineStr">
        <is>
          <t>UTP Huancayo</t>
        </is>
      </c>
      <c r="D12" t="n">
        <v>0</v>
      </c>
      <c r="E12" t="n">
        <v>3</v>
      </c>
      <c r="F12" t="n">
        <v>0</v>
      </c>
      <c r="G12" t="n">
        <v>1</v>
      </c>
      <c r="H12" t="n">
        <v>3</v>
      </c>
      <c r="I12" t="n">
        <v>0</v>
      </c>
      <c r="J12" t="n">
        <v>1</v>
      </c>
      <c r="K12" t="n">
        <v>1</v>
      </c>
      <c r="L12" t="n">
        <v>1</v>
      </c>
      <c r="M12" t="n">
        <v>3</v>
      </c>
      <c r="N12" t="n">
        <v>1</v>
      </c>
      <c r="O12" t="n">
        <v>14</v>
      </c>
    </row>
    <row r="13">
      <c r="A13" t="inlineStr">
        <is>
          <t>UTP Arequipa</t>
        </is>
      </c>
      <c r="D13" t="n">
        <v>0</v>
      </c>
      <c r="E13" t="n">
        <v>0</v>
      </c>
      <c r="F13" t="n">
        <v>0</v>
      </c>
      <c r="G13" t="n">
        <v>1</v>
      </c>
      <c r="H13" t="n">
        <v>7</v>
      </c>
      <c r="I13" t="n">
        <v>0</v>
      </c>
      <c r="J13" t="n">
        <v>11</v>
      </c>
      <c r="K13" t="n">
        <v>0</v>
      </c>
      <c r="L13" t="n">
        <v>11</v>
      </c>
      <c r="M13" t="n">
        <v>8</v>
      </c>
      <c r="N13" t="n">
        <v>3</v>
      </c>
      <c r="O13" t="n">
        <v>41</v>
      </c>
    </row>
    <row r="14">
      <c r="A14" t="inlineStr">
        <is>
          <t>Corporativo - Natalio</t>
        </is>
      </c>
      <c r="D14" t="n">
        <v>0</v>
      </c>
      <c r="E14" t="n">
        <v>0</v>
      </c>
      <c r="F14" t="n">
        <v>0</v>
      </c>
      <c r="G14" t="n">
        <v>1</v>
      </c>
      <c r="H14" t="n">
        <v>0</v>
      </c>
      <c r="I14" t="n">
        <v>0</v>
      </c>
      <c r="J14" t="n">
        <v>0</v>
      </c>
      <c r="K14" t="n">
        <v>0</v>
      </c>
      <c r="L14" t="n">
        <v>3</v>
      </c>
      <c r="M14" t="n">
        <v>0</v>
      </c>
      <c r="N14" t="n">
        <v>0</v>
      </c>
      <c r="O14" t="n">
        <v>4</v>
      </c>
    </row>
    <row r="15">
      <c r="A15" t="inlineStr">
        <is>
          <t>UTP Iquitos</t>
        </is>
      </c>
      <c r="D15" t="n">
        <v>0</v>
      </c>
      <c r="E15" t="n">
        <v>0</v>
      </c>
      <c r="F15" t="n">
        <v>0</v>
      </c>
      <c r="G15" t="n">
        <v>0</v>
      </c>
      <c r="H15" t="n">
        <v>1</v>
      </c>
      <c r="I15" t="n">
        <v>0</v>
      </c>
      <c r="J15" t="n">
        <v>0</v>
      </c>
      <c r="K15" t="n">
        <v>0</v>
      </c>
      <c r="L15" t="n">
        <v>1</v>
      </c>
      <c r="M15" t="n">
        <v>1</v>
      </c>
      <c r="N15" t="n">
        <v>1</v>
      </c>
      <c r="O15" t="n">
        <v>4</v>
      </c>
    </row>
    <row r="16">
      <c r="A16" t="inlineStr">
        <is>
          <t>UTP Pucallpa</t>
        </is>
      </c>
      <c r="D16" t="n">
        <v>0</v>
      </c>
      <c r="E16" t="n">
        <v>0</v>
      </c>
      <c r="F16" t="n">
        <v>0</v>
      </c>
      <c r="G16" t="n">
        <v>1</v>
      </c>
      <c r="H16" t="n">
        <v>0</v>
      </c>
      <c r="I16" t="n">
        <v>0</v>
      </c>
      <c r="J16" t="n">
        <v>0</v>
      </c>
      <c r="K16" t="n">
        <v>0</v>
      </c>
      <c r="L16" t="n">
        <v>1</v>
      </c>
      <c r="M16" t="n">
        <v>1</v>
      </c>
      <c r="N16" t="n">
        <v>1</v>
      </c>
      <c r="O16" t="n">
        <v>4</v>
      </c>
    </row>
    <row r="17">
      <c r="A17" t="inlineStr">
        <is>
          <t>UTP Tacna</t>
        </is>
      </c>
      <c r="D17" t="n">
        <v>0</v>
      </c>
      <c r="E17" t="n">
        <v>0</v>
      </c>
      <c r="F17" t="n">
        <v>0</v>
      </c>
      <c r="G17" t="n">
        <v>1</v>
      </c>
      <c r="H17" t="n">
        <v>0</v>
      </c>
      <c r="I17" t="n">
        <v>0</v>
      </c>
      <c r="J17" t="n">
        <v>0</v>
      </c>
      <c r="K17" t="n">
        <v>0</v>
      </c>
      <c r="L17" t="n">
        <v>1</v>
      </c>
      <c r="M17" t="n">
        <v>1</v>
      </c>
      <c r="N17" t="n">
        <v>1</v>
      </c>
      <c r="O17" t="n">
        <v>4</v>
      </c>
    </row>
    <row r="18">
      <c r="A18" t="inlineStr">
        <is>
          <t>UTP EPG Salaverry</t>
        </is>
      </c>
      <c r="D18" t="n">
        <v>0</v>
      </c>
      <c r="E18" t="n">
        <v>0</v>
      </c>
      <c r="F18" t="n">
        <v>0</v>
      </c>
      <c r="G18" t="n">
        <v>0</v>
      </c>
      <c r="H18" t="n">
        <v>0</v>
      </c>
      <c r="I18" t="n">
        <v>0</v>
      </c>
      <c r="J18" t="n">
        <v>1</v>
      </c>
      <c r="K18" t="n">
        <v>0</v>
      </c>
      <c r="L18" t="n">
        <v>0</v>
      </c>
      <c r="M18" t="n">
        <v>0</v>
      </c>
      <c r="N18" t="n">
        <v>0</v>
      </c>
      <c r="O18" t="n">
        <v>1</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2026-09-25T06:31:42Z</dcterms:created>
  <dcterms:modified xmlns:dcterms="http://purl.org/dc/terms/" xmlns:xsi="http://www.w3.org/2001/XMLSchema-instance" xsi:type="dcterms:W3CDTF">2026-09-25T06:34:24Z</dcterms:modified>
</cp:coreProperties>
</file>