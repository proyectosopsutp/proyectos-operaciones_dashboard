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7"/>
  </bookViews>
  <sheets>
    <sheet name="README" sheetId="1" state="visible" r:id="rId3"/>
    <sheet name="KPIs_HTML" sheetId="2" state="visible" r:id="rId4"/>
    <sheet name="LIMPIEZA_COBERTURA" sheetId="3" state="visible" r:id="rId5"/>
    <sheet name="LIMPIEZA_PRESUPUESTO" sheetId="4" state="visible" r:id="rId6"/>
    <sheet name="AULA911_CAMPUS" sheetId="5" state="visible" r:id="rId7"/>
    <sheet name="AULA911_TOP" sheetId="6" state="visible" r:id="rId8"/>
    <sheet name="RONDAS" sheetId="7" state="visible" r:id="rId9"/>
    <sheet name="PROYECTOS" sheetId="8" state="visible" r:id="rId10"/>
    <sheet name="MEJORAS_PROGRAMACION" sheetId="9" state="visible" r:id="rId11"/>
    <sheet name="MEJORAS_ESTADO" sheetId="10" state="visible" r:id="rId12"/>
    <sheet name="LISTO" sheetId="11" state="visible" r:id="rId13"/>
    <sheet name="CONFIG_HTML" sheetId="12" state="visible" r:id="rId14"/>
  </sheets>
  <definedNames>
    <definedName function="false" hidden="true" localSheetId="4" name="_xlnm._FilterDatabase" vbProcedure="false">AULA911_CAMPUS!$A$1:$F$23</definedName>
    <definedName function="false" hidden="true" localSheetId="5" name="_xlnm._FilterDatabase" vbProcedure="false">AULA911_TOP!$A$1:$B$6</definedName>
    <definedName function="false" hidden="true" localSheetId="11" name="_xlnm._FilterDatabase" vbProcedure="false">CONFIG_HTML!$A$1:$D$1</definedName>
    <definedName function="false" hidden="true" localSheetId="1" name="_xlnm._FilterDatabase" vbProcedure="false">KPIs_HTML!$A$1:$D$26</definedName>
    <definedName function="false" hidden="true" localSheetId="2" name="_xlnm._FilterDatabase" vbProcedure="false">LIMPIEZA_COBERTURA!$A$1:$M$29</definedName>
    <definedName function="false" hidden="true" localSheetId="3" name="_xlnm._FilterDatabase" vbProcedure="false">LIMPIEZA_PRESUPUESTO!$A$1:$C$11</definedName>
    <definedName function="false" hidden="true" localSheetId="10" name="_xlnm._FilterDatabase" vbProcedure="false">LISTO!$A$1:$G$19</definedName>
    <definedName function="false" hidden="true" localSheetId="9" name="_xlnm._FilterDatabase" vbProcedure="false">MEJORAS_ESTADO!$A$1:$C$5</definedName>
    <definedName function="false" hidden="true" localSheetId="8" name="_xlnm._FilterDatabase" vbProcedure="false">MEJORAS_PROGRAMACION!$A$1:$L$18</definedName>
    <definedName function="false" hidden="true" localSheetId="7" name="_xlnm._FilterDatabase" vbProcedure="false">PROYECTOS!$A$1:$G$20</definedName>
    <definedName function="false" hidden="true" localSheetId="6" name="_xlnm._FilterDatabase" vbProcedure="false">RONDAS!$A$1:$G$23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<sst xmlns="http://schemas.openxmlformats.org/spreadsheetml/2006/main" count="496" uniqueCount="278">
  <si>
    <t xml:space="preserve">Instrucciones</t>
  </si>
  <si>
    <t xml:space="preserve">Este Excel alimenta el dashboard HTML (index.html).</t>
  </si>
  <si>
    <t xml:space="preserve">El HTML ya está programado para leer el archivo 'BD_dashboard_operaciones_github.xlsx' de forma automática al abrirse.</t>
  </si>
  <si>
    <t xml:space="preserve">CÓMO USARLO:</t>
  </si>
  <si>
    <t xml:space="preserve">1. Edita los valores en las hojas de abajo (no cambies los nombres de hoja ni de columnas).</t>
  </si>
  <si>
    <t xml:space="preserve">2. Guarda este archivo con el nombre exacto: BD_dashboard_operaciones_github.xlsx</t>
  </si>
  <si>
    <t xml:space="preserve">3. Súbelo a la misma carpeta/repositorio donde está el index.html (reemplazando el anterior).</t>
  </si>
  <si>
    <t xml:space="preserve">4. Al abrir o recargar el HTML, los datos se actualizan solos (no hay que tocar el código).</t>
  </si>
  <si>
    <t xml:space="preserve">HOJAS Y SU FUNCIÓN:</t>
  </si>
  <si>
    <t xml:space="preserve">KPIs_HTML: todas las tarjetas numéricas (KPI) del dashboard. Columnas: modulo, indicador, valor, unidad.</t>
  </si>
  <si>
    <t xml:space="preserve">   unidad admite: porcentaje (valor como fracción, ej. 0.95 = 95%), entero, minutos, moneda, decimal.</t>
  </si>
  <si>
    <t xml:space="preserve">LIMPIEZA_COBERTURA: tabla de cobertura de limpieza por sede.</t>
  </si>
  <si>
    <t xml:space="preserve">LIMPIEZA_PRESUPUESTO: montos mensuales de descuentos y penalidades. periodo en formato AAAA-MM.</t>
  </si>
  <si>
    <t xml:space="preserve">AULA911_CAMPUS: tiempos de atención y valoración por campus (Aula 911).</t>
  </si>
  <si>
    <t xml:space="preserve">AULA911_TOP: participación (fracción 0-1) de los tipos de incidencia más frecuentes.</t>
  </si>
  <si>
    <t xml:space="preserve">RONDAS: cumplimiento de rondas por sede.</t>
  </si>
  <si>
    <t xml:space="preserve">PROYECTOS: portafolio de proyectos 2026 (usado también en el detalle de Huánuco/Huamanga/Juliaca).</t>
  </si>
  <si>
    <t xml:space="preserve">MEJORAS_PROGRAMACION: iniciativas estratégicas por campus y mes.</t>
  </si>
  <si>
    <t xml:space="preserve">MEJORAS_ESTADO: conteo de iniciativas por estado (Ejecutado/En proceso/Pendiente/Cancelado).</t>
  </si>
  <si>
    <t xml:space="preserve">LISTO: implementación del programa Listo por campus (incluye el detalle de Trujillo).</t>
  </si>
  <si>
    <t xml:space="preserve">CONFIG_HTML (opcional): permite sobrescribir textos puntuales del HTML por selector CSS.</t>
  </si>
  <si>
    <t xml:space="preserve">   selector 'meta:&lt;id-seccion&gt;:eyebrow' o 'meta:&lt;id-seccion&gt;:title' cambia los títulos de cada sección.</t>
  </si>
  <si>
    <t xml:space="preserve">modulo</t>
  </si>
  <si>
    <t xml:space="preserve">indicador</t>
  </si>
  <si>
    <t xml:space="preserve">valor</t>
  </si>
  <si>
    <t xml:space="preserve">unidad</t>
  </si>
  <si>
    <t xml:space="preserve">Limpieza</t>
  </si>
  <si>
    <t xml:space="preserve">Cobertura semanal total</t>
  </si>
  <si>
    <t xml:space="preserve">porcentaje</t>
  </si>
  <si>
    <t xml:space="preserve">Dotación programada (turnos)</t>
  </si>
  <si>
    <t xml:space="preserve">entero</t>
  </si>
  <si>
    <t xml:space="preserve">Turnos cubiertos</t>
  </si>
  <si>
    <t xml:space="preserve">Turnos pendientes</t>
  </si>
  <si>
    <t xml:space="preserve">Presupuesto 2026</t>
  </si>
  <si>
    <t xml:space="preserve">moneda</t>
  </si>
  <si>
    <t xml:space="preserve">Presupuesto ejecutado</t>
  </si>
  <si>
    <t xml:space="preserve">Nivel de ejecución</t>
  </si>
  <si>
    <t xml:space="preserve">Descuentos + penalidades</t>
  </si>
  <si>
    <t xml:space="preserve">Aula 911</t>
  </si>
  <si>
    <t xml:space="preserve"># incidencias</t>
  </si>
  <si>
    <t xml:space="preserve">Tiempo acepta solicitud</t>
  </si>
  <si>
    <t xml:space="preserve">minutos</t>
  </si>
  <si>
    <t xml:space="preserve">Tiempo atiende solicitud</t>
  </si>
  <si>
    <t xml:space="preserve">Tiempo total de atención</t>
  </si>
  <si>
    <t xml:space="preserve">Valoración general</t>
  </si>
  <si>
    <t xml:space="preserve">decimal</t>
  </si>
  <si>
    <t xml:space="preserve">Rondas</t>
  </si>
  <si>
    <t xml:space="preserve">% cumplimiento</t>
  </si>
  <si>
    <t xml:space="preserve">% cumplimiento encargado</t>
  </si>
  <si>
    <t xml:space="preserve">% cumplimiento Asistente</t>
  </si>
  <si>
    <t xml:space="preserve">Total programado</t>
  </si>
  <si>
    <t xml:space="preserve">Total ejecutado</t>
  </si>
  <si>
    <t xml:space="preserve"># checkpoints</t>
  </si>
  <si>
    <t xml:space="preserve">Proyectos</t>
  </si>
  <si>
    <t xml:space="preserve">En proceso</t>
  </si>
  <si>
    <t xml:space="preserve">Pendientes</t>
  </si>
  <si>
    <t xml:space="preserve">Listo</t>
  </si>
  <si>
    <t xml:space="preserve">Registros</t>
  </si>
  <si>
    <t xml:space="preserve">Operativos</t>
  </si>
  <si>
    <t xml:space="preserve">Por implementar</t>
  </si>
  <si>
    <t xml:space="preserve">zona</t>
  </si>
  <si>
    <t xml:space="preserve">campus</t>
  </si>
  <si>
    <t xml:space="preserve">dot_m</t>
  </si>
  <si>
    <t xml:space="preserve">dot_t</t>
  </si>
  <si>
    <t xml:space="preserve">dot_n</t>
  </si>
  <si>
    <t xml:space="preserve">cob_m</t>
  </si>
  <si>
    <t xml:space="preserve">cob_t</t>
  </si>
  <si>
    <t xml:space="preserve">cob_n</t>
  </si>
  <si>
    <t xml:space="preserve">pend_m</t>
  </si>
  <si>
    <t xml:space="preserve">pend_t</t>
  </si>
  <si>
    <t xml:space="preserve">pend_n</t>
  </si>
  <si>
    <t xml:space="preserve">pend_total</t>
  </si>
  <si>
    <t xml:space="preserve">cobertura_pct</t>
  </si>
  <si>
    <t xml:space="preserve">LIMA</t>
  </si>
  <si>
    <t xml:space="preserve">SJL I</t>
  </si>
  <si>
    <t xml:space="preserve">ALMACEN CENTRAL</t>
  </si>
  <si>
    <t xml:space="preserve">JARRITA</t>
  </si>
  <si>
    <t xml:space="preserve">TORRE NUEVA</t>
  </si>
  <si>
    <t xml:space="preserve">LIMA NORTE</t>
  </si>
  <si>
    <t xml:space="preserve">PROVINCIA</t>
  </si>
  <si>
    <t xml:space="preserve">AREQUIPA POSTGRADO</t>
  </si>
  <si>
    <t xml:space="preserve">CHIMBOTE</t>
  </si>
  <si>
    <t xml:space="preserve">PIURA</t>
  </si>
  <si>
    <t xml:space="preserve">TRUJILLO</t>
  </si>
  <si>
    <t xml:space="preserve">HUANCAYO</t>
  </si>
  <si>
    <t xml:space="preserve">HUANUCO</t>
  </si>
  <si>
    <t xml:space="preserve">IQUITOS</t>
  </si>
  <si>
    <t xml:space="preserve">PUCALLPA</t>
  </si>
  <si>
    <t xml:space="preserve">ICA</t>
  </si>
  <si>
    <t xml:space="preserve">TORRE II</t>
  </si>
  <si>
    <t xml:space="preserve">TACNA</t>
  </si>
  <si>
    <t xml:space="preserve">ATE</t>
  </si>
  <si>
    <t xml:space="preserve">CHICLAYO</t>
  </si>
  <si>
    <t xml:space="preserve">PACIFICO</t>
  </si>
  <si>
    <t xml:space="preserve">LIMA SUR</t>
  </si>
  <si>
    <t xml:space="preserve">SEDE CENTRAL</t>
  </si>
  <si>
    <t xml:space="preserve">OFICINAS ADMINISTRATIVA</t>
  </si>
  <si>
    <t xml:space="preserve">AREQUIPA I</t>
  </si>
  <si>
    <t xml:space="preserve">SJL II</t>
  </si>
  <si>
    <t xml:space="preserve">AREQUIPA III</t>
  </si>
  <si>
    <t xml:space="preserve">AREQUIPA II</t>
  </si>
  <si>
    <t xml:space="preserve">EPG SALAVERRY</t>
  </si>
  <si>
    <t xml:space="preserve">JOSE DIAZ</t>
  </si>
  <si>
    <t xml:space="preserve">periodo</t>
  </si>
  <si>
    <t xml:space="preserve">concepto</t>
  </si>
  <si>
    <t xml:space="preserve">monto</t>
  </si>
  <si>
    <t xml:space="preserve">2026-05</t>
  </si>
  <si>
    <t xml:space="preserve">Descuentos faltas/tardanzas</t>
  </si>
  <si>
    <t xml:space="preserve">2026-06</t>
  </si>
  <si>
    <t xml:space="preserve">2026-07</t>
  </si>
  <si>
    <t xml:space="preserve">2026-08</t>
  </si>
  <si>
    <t xml:space="preserve">2026-09</t>
  </si>
  <si>
    <t xml:space="preserve">Penalidades</t>
  </si>
  <si>
    <t xml:space="preserve">tiempo_acepta_min</t>
  </si>
  <si>
    <t xml:space="preserve">tiempo_atiende_min</t>
  </si>
  <si>
    <t xml:space="preserve">tiempo_total_min</t>
  </si>
  <si>
    <t xml:space="preserve">valoracion</t>
  </si>
  <si>
    <t xml:space="preserve">es_subsede</t>
  </si>
  <si>
    <t xml:space="preserve">CAMPUS CHIMBOTE</t>
  </si>
  <si>
    <t xml:space="preserve">CAMPUS TRUJILLO</t>
  </si>
  <si>
    <t xml:space="preserve">CAMPUS PIURA</t>
  </si>
  <si>
    <t xml:space="preserve">CAMPUS AREQUIPA</t>
  </si>
  <si>
    <t xml:space="preserve">Tacna y Arica</t>
  </si>
  <si>
    <t xml:space="preserve">Parra</t>
  </si>
  <si>
    <t xml:space="preserve">Parra 2</t>
  </si>
  <si>
    <t xml:space="preserve">CAMPUS HUANCAYO</t>
  </si>
  <si>
    <t xml:space="preserve">CAMPUS SAN JUAN DE LURIGANCHO</t>
  </si>
  <si>
    <t xml:space="preserve">CAMPUS ATE UTP</t>
  </si>
  <si>
    <t xml:space="preserve">CAMPUS IQUITOS</t>
  </si>
  <si>
    <t xml:space="preserve">CAMPUS CHICLAYO</t>
  </si>
  <si>
    <t xml:space="preserve">CAMPUS LIMA</t>
  </si>
  <si>
    <t xml:space="preserve">Torre Petit Thouars</t>
  </si>
  <si>
    <t xml:space="preserve">Edificio Pacífico</t>
  </si>
  <si>
    <t xml:space="preserve">Torre Arequipa</t>
  </si>
  <si>
    <t xml:space="preserve">Sede Central</t>
  </si>
  <si>
    <t xml:space="preserve">CAMPUS ICA</t>
  </si>
  <si>
    <t xml:space="preserve">CAMPUS TACNA</t>
  </si>
  <si>
    <t xml:space="preserve">CAMPUS PUCALLPA</t>
  </si>
  <si>
    <t xml:space="preserve">CAMPUS LIMA NORTE UTP</t>
  </si>
  <si>
    <t xml:space="preserve">CAMPUS LIMA SUR UTP</t>
  </si>
  <si>
    <t xml:space="preserve">tipo_incidencia</t>
  </si>
  <si>
    <t xml:space="preserve">participacion</t>
  </si>
  <si>
    <t xml:space="preserve">Problema con la PC</t>
  </si>
  <si>
    <t xml:space="preserve">Problema con el proyector</t>
  </si>
  <si>
    <t xml:space="preserve">Ambiente cerrado</t>
  </si>
  <si>
    <t xml:space="preserve">Problema con el audio</t>
  </si>
  <si>
    <t xml:space="preserve">Problema con el Zoom</t>
  </si>
  <si>
    <t xml:space="preserve">sede</t>
  </si>
  <si>
    <t xml:space="preserve">dispositivos_asignados</t>
  </si>
  <si>
    <t xml:space="preserve">responsables</t>
  </si>
  <si>
    <t xml:space="preserve">programado</t>
  </si>
  <si>
    <t xml:space="preserve">ejecutado</t>
  </si>
  <si>
    <t xml:space="preserve">cumplimiento_pct</t>
  </si>
  <si>
    <t xml:space="preserve">03. UTP SJL</t>
  </si>
  <si>
    <t xml:space="preserve">04. UTP Ate</t>
  </si>
  <si>
    <t xml:space="preserve">11. UTP Huancayo</t>
  </si>
  <si>
    <t xml:space="preserve">05. UTP Lima Sur</t>
  </si>
  <si>
    <t xml:space="preserve">07. UTP Chiclayo</t>
  </si>
  <si>
    <t xml:space="preserve">02. UTP Lima Norte</t>
  </si>
  <si>
    <t xml:space="preserve">06. UTP Arequipa</t>
  </si>
  <si>
    <t xml:space="preserve">02. UTP Arequipa Parra I</t>
  </si>
  <si>
    <t xml:space="preserve">03. UTP Arequipa Parra II</t>
  </si>
  <si>
    <t xml:space="preserve">01. UTP Arequipa Tacna y Arica</t>
  </si>
  <si>
    <t xml:space="preserve">01. UTP Lima Centro</t>
  </si>
  <si>
    <t xml:space="preserve">03. UTP Lima Centro Torre Petit Thouars</t>
  </si>
  <si>
    <t xml:space="preserve">01. UTP Lima Centro Sede Central</t>
  </si>
  <si>
    <t xml:space="preserve">04. UTP Lima Centro Torre Pacifico</t>
  </si>
  <si>
    <t xml:space="preserve">02. UTP Lima Centro Torre Arequipa</t>
  </si>
  <si>
    <t xml:space="preserve">09. UTP Piura</t>
  </si>
  <si>
    <t xml:space="preserve">13. UTP Iquitos</t>
  </si>
  <si>
    <t xml:space="preserve">14. UTP Pucallpa</t>
  </si>
  <si>
    <t xml:space="preserve">08. UTP Ica</t>
  </si>
  <si>
    <t xml:space="preserve">12. UTP Trujillo</t>
  </si>
  <si>
    <t xml:space="preserve">10. UTP Chimbote</t>
  </si>
  <si>
    <t xml:space="preserve">15. UTP Tacna</t>
  </si>
  <si>
    <t xml:space="preserve">proyecto</t>
  </si>
  <si>
    <t xml:space="preserve">estado</t>
  </si>
  <si>
    <t xml:space="preserve">avance_obra_pct</t>
  </si>
  <si>
    <t xml:space="preserve">avance_compras_pct</t>
  </si>
  <si>
    <t xml:space="preserve">avance_implementación_pct</t>
  </si>
  <si>
    <t xml:space="preserve">fecha_objetivo_texto</t>
  </si>
  <si>
    <t xml:space="preserve">con_observaciones</t>
  </si>
  <si>
    <t xml:space="preserve">nueva_fecha_texto</t>
  </si>
  <si>
    <t xml:space="preserve">Nuevo Edificio Campus Lima Norte (Salud) – Por definir ITSE</t>
  </si>
  <si>
    <t xml:space="preserve">SET 26</t>
  </si>
  <si>
    <t xml:space="preserve">-</t>
  </si>
  <si>
    <t xml:space="preserve">Laboratorios Salud Campus Lima Norte – ETAPA I – Pendiente ITSE</t>
  </si>
  <si>
    <t xml:space="preserve">Si</t>
  </si>
  <si>
    <t xml:space="preserve">Laboratorios de Técnicas Dietéticas y Terapia (Iquitos –Pucallpa)</t>
  </si>
  <si>
    <t xml:space="preserve">Nuevo Campus Huánuco - ITSE - 14/08</t>
  </si>
  <si>
    <t xml:space="preserve">OCT 26</t>
  </si>
  <si>
    <t xml:space="preserve">Nuevo Campus Huamanga – ITSE – 22/09</t>
  </si>
  <si>
    <t xml:space="preserve">Nuevo Campus Juliaca – ITSE - 18/11</t>
  </si>
  <si>
    <t xml:space="preserve">NOV 26</t>
  </si>
  <si>
    <t xml:space="preserve">Nuevos Laboratorios de Hotelería y Turismo – Lima Centro</t>
  </si>
  <si>
    <t xml:space="preserve">ENE 27</t>
  </si>
  <si>
    <t xml:space="preserve">Nuevos Laboratorios de Odontología – Lima Centro - Jarrita</t>
  </si>
  <si>
    <t xml:space="preserve">MAR 27</t>
  </si>
  <si>
    <t xml:space="preserve">Nuevo Campus Cusco</t>
  </si>
  <si>
    <t xml:space="preserve">Pendiente</t>
  </si>
  <si>
    <t xml:space="preserve">JUL 27</t>
  </si>
  <si>
    <t xml:space="preserve">Ampliación Campus Huancayo</t>
  </si>
  <si>
    <t xml:space="preserve">AGO 27</t>
  </si>
  <si>
    <t xml:space="preserve">Ampliación Campus Piura</t>
  </si>
  <si>
    <t xml:space="preserve">Remodelación de Saco Oliveros</t>
  </si>
  <si>
    <t xml:space="preserve">Clínica Odontológica – Guzman Blanco</t>
  </si>
  <si>
    <t xml:space="preserve">Idat Campus SJL</t>
  </si>
  <si>
    <t xml:space="preserve">Idat Campus SJM</t>
  </si>
  <si>
    <t xml:space="preserve">Idat Chiclayo</t>
  </si>
  <si>
    <t xml:space="preserve">Medicina Ica</t>
  </si>
  <si>
    <t xml:space="preserve">Medicina Trujillo</t>
  </si>
  <si>
    <t xml:space="preserve">Medicina Piura</t>
  </si>
  <si>
    <t xml:space="preserve">fecha_inicio_texto</t>
  </si>
  <si>
    <t xml:space="preserve">fecha_fin_texto</t>
  </si>
  <si>
    <t xml:space="preserve">mar</t>
  </si>
  <si>
    <t xml:space="preserve">abr</t>
  </si>
  <si>
    <t xml:space="preserve">may</t>
  </si>
  <si>
    <t xml:space="preserve">jun</t>
  </si>
  <si>
    <t xml:space="preserve">ago</t>
  </si>
  <si>
    <t xml:space="preserve">set</t>
  </si>
  <si>
    <t xml:space="preserve">oct</t>
  </si>
  <si>
    <t xml:space="preserve">nov</t>
  </si>
  <si>
    <t xml:space="preserve">total</t>
  </si>
  <si>
    <t xml:space="preserve">Corporativo - Natalio</t>
  </si>
  <si>
    <t xml:space="preserve">11-03-2026</t>
  </si>
  <si>
    <t xml:space="preserve">UTP Arequipa</t>
  </si>
  <si>
    <t xml:space="preserve">UTP Chiclayo</t>
  </si>
  <si>
    <t xml:space="preserve">UTP Chimbote</t>
  </si>
  <si>
    <t xml:space="preserve">UTP Huancayo</t>
  </si>
  <si>
    <t xml:space="preserve">UTP Ica</t>
  </si>
  <si>
    <t xml:space="preserve">UTP Iquitos</t>
  </si>
  <si>
    <t xml:space="preserve">UTP Lima Centro</t>
  </si>
  <si>
    <t xml:space="preserve">UTP Lima Este</t>
  </si>
  <si>
    <t xml:space="preserve">UTP Lima Norte</t>
  </si>
  <si>
    <t xml:space="preserve">UTP Lima Sur</t>
  </si>
  <si>
    <t xml:space="preserve">UTP Piura</t>
  </si>
  <si>
    <t xml:space="preserve">UTP Pucallpa</t>
  </si>
  <si>
    <t xml:space="preserve">UTP SJL</t>
  </si>
  <si>
    <t xml:space="preserve">UTP Tacna</t>
  </si>
  <si>
    <t xml:space="preserve">UTP Trujillo</t>
  </si>
  <si>
    <t xml:space="preserve">UTP EPG Salaverry</t>
  </si>
  <si>
    <t xml:space="preserve">cantidad</t>
  </si>
  <si>
    <t xml:space="preserve">Ejecutado</t>
  </si>
  <si>
    <t xml:space="preserve">Cancelado</t>
  </si>
  <si>
    <t xml:space="preserve">diseno_pct</t>
  </si>
  <si>
    <t xml:space="preserve">obra_pct</t>
  </si>
  <si>
    <t xml:space="preserve">operacion</t>
  </si>
  <si>
    <t xml:space="preserve">con_observacion</t>
  </si>
  <si>
    <t xml:space="preserve">LC – Torre Tecnológica Arequipa (I)</t>
  </si>
  <si>
    <t xml:space="preserve">Sí</t>
  </si>
  <si>
    <t xml:space="preserve">Mar-26</t>
  </si>
  <si>
    <t xml:space="preserve">No</t>
  </si>
  <si>
    <t xml:space="preserve">LC – Sede Central (I)</t>
  </si>
  <si>
    <t xml:space="preserve">6/04/2026</t>
  </si>
  <si>
    <t xml:space="preserve">LC – Torre II (I)</t>
  </si>
  <si>
    <t xml:space="preserve">LS – Piso 1 (I)</t>
  </si>
  <si>
    <t xml:space="preserve">LS – Piso 10 (I)</t>
  </si>
  <si>
    <t xml:space="preserve">Ica (I)</t>
  </si>
  <si>
    <t xml:space="preserve">Arequipa – Tacna y Arica (I)</t>
  </si>
  <si>
    <t xml:space="preserve">LC – Pacífico (II)</t>
  </si>
  <si>
    <t xml:space="preserve">13/04/2026</t>
  </si>
  <si>
    <t xml:space="preserve">SJL (II)</t>
  </si>
  <si>
    <t xml:space="preserve">30/03/2026</t>
  </si>
  <si>
    <t xml:space="preserve">Arequipa – Parra 2 (II)</t>
  </si>
  <si>
    <t xml:space="preserve">Trujillo (II)</t>
  </si>
  <si>
    <t xml:space="preserve">Jun-26</t>
  </si>
  <si>
    <t xml:space="preserve">Lima Norte (II) – Pendiente</t>
  </si>
  <si>
    <t xml:space="preserve">Chiclayo (II)</t>
  </si>
  <si>
    <t xml:space="preserve">Oct-26</t>
  </si>
  <si>
    <t xml:space="preserve">ATE (II)</t>
  </si>
  <si>
    <t xml:space="preserve">Pucallpa (III)</t>
  </si>
  <si>
    <t xml:space="preserve">Nov-26</t>
  </si>
  <si>
    <t xml:space="preserve">Iquitos (III)</t>
  </si>
  <si>
    <t xml:space="preserve">Chimbote (III)</t>
  </si>
  <si>
    <t xml:space="preserve">Resto de campus (IV)</t>
  </si>
  <si>
    <t xml:space="preserve">selector</t>
  </si>
  <si>
    <t xml:space="preserve">tipo</t>
  </si>
  <si>
    <t xml:space="preserve">atributo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</si>
</sst>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C8161C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8161C"/>
        <bgColor rgb="FFFF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C816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816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30"/>
  </cols>
  <sheetData>
    <row r="1" customFormat="false" ht="16.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2" t="s">
        <v>2</v>
      </c>
    </row>
    <row r="4" customFormat="false" ht="14.25" hidden="false" customHeight="false" outlineLevel="0" collapsed="false">
      <c r="A4" s="2"/>
    </row>
    <row r="5" customFormat="false" ht="14.25" hidden="false" customHeight="false" outlineLevel="0" collapsed="false">
      <c r="A5" s="2" t="s">
        <v>3</v>
      </c>
    </row>
    <row r="6" customFormat="false" ht="14.25" hidden="false" customHeight="false" outlineLevel="0" collapsed="false">
      <c r="A6" s="2" t="s">
        <v>4</v>
      </c>
    </row>
    <row r="7" customFormat="false" ht="14.25" hidden="false" customHeight="false" outlineLevel="0" collapsed="false">
      <c r="A7" s="2" t="s">
        <v>5</v>
      </c>
    </row>
    <row r="8" customFormat="false" ht="14.25" hidden="false" customHeight="false" outlineLevel="0" collapsed="false">
      <c r="A8" s="2" t="s">
        <v>6</v>
      </c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2"/>
    </row>
    <row r="11" customFormat="false" ht="14.25" hidden="false" customHeight="false" outlineLevel="0" collapsed="false">
      <c r="A11" s="2" t="s">
        <v>8</v>
      </c>
    </row>
    <row r="12" customFormat="false" ht="14.25" hidden="false" customHeight="false" outlineLevel="0" collapsed="false">
      <c r="A12" s="2" t="s">
        <v>9</v>
      </c>
    </row>
    <row r="13" customFormat="false" ht="14.25" hidden="false" customHeight="false" outlineLevel="0" collapsed="false">
      <c r="A13" s="2" t="s">
        <v>10</v>
      </c>
    </row>
    <row r="14" customFormat="false" ht="14.25" hidden="false" customHeight="false" outlineLevel="0" collapsed="false">
      <c r="A14" s="2" t="s">
        <v>11</v>
      </c>
    </row>
    <row r="15" customFormat="false" ht="14.25" hidden="false" customHeight="false" outlineLevel="0" collapsed="false">
      <c r="A15" s="2" t="s">
        <v>12</v>
      </c>
    </row>
    <row r="16" customFormat="false" ht="14.25" hidden="false" customHeight="false" outlineLevel="0" collapsed="false">
      <c r="A16" s="2" t="s">
        <v>13</v>
      </c>
    </row>
    <row r="17" customFormat="false" ht="14.25" hidden="false" customHeight="false" outlineLevel="0" collapsed="false">
      <c r="A17" s="2" t="s">
        <v>14</v>
      </c>
    </row>
    <row r="18" customFormat="false" ht="14.25" hidden="false" customHeight="false" outlineLevel="0" collapsed="false">
      <c r="A18" s="2" t="s">
        <v>15</v>
      </c>
    </row>
    <row r="19" customFormat="false" ht="14.25" hidden="false" customHeight="false" outlineLevel="0" collapsed="false">
      <c r="A19" s="2" t="s">
        <v>16</v>
      </c>
    </row>
    <row r="20" customFormat="false" ht="14.25" hidden="false" customHeight="false" outlineLevel="0" collapsed="false">
      <c r="A20" s="2" t="s">
        <v>17</v>
      </c>
    </row>
    <row r="21" customFormat="false" ht="14.25" hidden="false" customHeight="false" outlineLevel="0" collapsed="false">
      <c r="A21" s="2" t="s">
        <v>18</v>
      </c>
    </row>
    <row r="22" customFormat="false" ht="14.25" hidden="false" customHeight="false" outlineLevel="0" collapsed="false">
      <c r="A22" s="2" t="s">
        <v>19</v>
      </c>
    </row>
    <row r="23" customFormat="false" ht="14.25" hidden="false" customHeight="false" outlineLevel="0" collapsed="false">
      <c r="A23" s="2" t="s">
        <v>20</v>
      </c>
    </row>
    <row r="24" customFormat="false" ht="14.25" hidden="false" customHeight="false" outlineLevel="0" collapsed="false">
      <c r="A24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1"/>
    <col collapsed="false" customWidth="true" hidden="false" outlineLevel="0" max="3" min="3" style="0" width="11"/>
    <col collapsed="false" customWidth="true" hidden="false" outlineLevel="0" max="4" min="4" style="0" width="13"/>
  </cols>
  <sheetData>
    <row r="1" customFormat="false" ht="14.25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</row>
    <row r="2" customFormat="false" ht="14.25" hidden="false" customHeight="false" outlineLevel="0" collapsed="false">
      <c r="A2" s="4" t="s">
        <v>26</v>
      </c>
      <c r="B2" s="4" t="s">
        <v>27</v>
      </c>
      <c r="C2" s="4" t="n">
        <v>0.95</v>
      </c>
      <c r="D2" s="4" t="s">
        <v>28</v>
      </c>
    </row>
    <row r="3" customFormat="false" ht="14.25" hidden="false" customHeight="false" outlineLevel="0" collapsed="false">
      <c r="A3" s="4" t="s">
        <v>26</v>
      </c>
      <c r="B3" s="4" t="s">
        <v>29</v>
      </c>
      <c r="C3" s="4" t="n">
        <v>616</v>
      </c>
      <c r="D3" s="4" t="s">
        <v>30</v>
      </c>
    </row>
    <row r="4" customFormat="false" ht="14.25" hidden="false" customHeight="false" outlineLevel="0" collapsed="false">
      <c r="A4" s="4" t="s">
        <v>26</v>
      </c>
      <c r="B4" s="4" t="s">
        <v>31</v>
      </c>
      <c r="C4" s="4" t="n">
        <v>584</v>
      </c>
      <c r="D4" s="4" t="s">
        <v>30</v>
      </c>
    </row>
    <row r="5" customFormat="false" ht="14.25" hidden="false" customHeight="false" outlineLevel="0" collapsed="false">
      <c r="A5" s="4" t="s">
        <v>26</v>
      </c>
      <c r="B5" s="4" t="s">
        <v>32</v>
      </c>
      <c r="C5" s="4" t="n">
        <v>32</v>
      </c>
      <c r="D5" s="4" t="s">
        <v>30</v>
      </c>
    </row>
    <row r="6" customFormat="false" ht="14.25" hidden="false" customHeight="false" outlineLevel="0" collapsed="false">
      <c r="A6" s="4" t="s">
        <v>26</v>
      </c>
      <c r="B6" s="4" t="s">
        <v>33</v>
      </c>
      <c r="C6" s="4" t="n">
        <v>18000000</v>
      </c>
      <c r="D6" s="4" t="s">
        <v>34</v>
      </c>
    </row>
    <row r="7" customFormat="false" ht="14.25" hidden="false" customHeight="false" outlineLevel="0" collapsed="false">
      <c r="A7" s="4" t="s">
        <v>26</v>
      </c>
      <c r="B7" s="4" t="s">
        <v>35</v>
      </c>
      <c r="C7" s="4" t="n">
        <v>11200000</v>
      </c>
      <c r="D7" s="4" t="s">
        <v>34</v>
      </c>
    </row>
    <row r="8" customFormat="false" ht="14.25" hidden="false" customHeight="false" outlineLevel="0" collapsed="false">
      <c r="A8" s="4" t="s">
        <v>26</v>
      </c>
      <c r="B8" s="4" t="s">
        <v>36</v>
      </c>
      <c r="C8" s="4" t="n">
        <v>0.622</v>
      </c>
      <c r="D8" s="4" t="s">
        <v>28</v>
      </c>
    </row>
    <row r="9" customFormat="false" ht="14.25" hidden="false" customHeight="false" outlineLevel="0" collapsed="false">
      <c r="A9" s="4" t="s">
        <v>26</v>
      </c>
      <c r="B9" s="4" t="s">
        <v>37</v>
      </c>
      <c r="C9" s="4" t="n">
        <v>222439</v>
      </c>
      <c r="D9" s="4" t="s">
        <v>34</v>
      </c>
    </row>
    <row r="10" customFormat="false" ht="14.25" hidden="false" customHeight="false" outlineLevel="0" collapsed="false">
      <c r="A10" s="4" t="s">
        <v>38</v>
      </c>
      <c r="B10" s="4" t="s">
        <v>39</v>
      </c>
      <c r="C10" s="4" t="n">
        <v>21040</v>
      </c>
      <c r="D10" s="4" t="s">
        <v>30</v>
      </c>
    </row>
    <row r="11" customFormat="false" ht="14.25" hidden="false" customHeight="false" outlineLevel="0" collapsed="false">
      <c r="A11" s="4" t="s">
        <v>38</v>
      </c>
      <c r="B11" s="4" t="s">
        <v>40</v>
      </c>
      <c r="C11" s="4" t="n">
        <v>4.7</v>
      </c>
      <c r="D11" s="4" t="s">
        <v>41</v>
      </c>
    </row>
    <row r="12" customFormat="false" ht="14.25" hidden="false" customHeight="false" outlineLevel="0" collapsed="false">
      <c r="A12" s="4" t="s">
        <v>38</v>
      </c>
      <c r="B12" s="4" t="s">
        <v>42</v>
      </c>
      <c r="C12" s="4" t="n">
        <v>4.7</v>
      </c>
      <c r="D12" s="4" t="s">
        <v>41</v>
      </c>
    </row>
    <row r="13" customFormat="false" ht="14.25" hidden="false" customHeight="false" outlineLevel="0" collapsed="false">
      <c r="A13" s="4" t="s">
        <v>38</v>
      </c>
      <c r="B13" s="4" t="s">
        <v>43</v>
      </c>
      <c r="C13" s="4" t="n">
        <v>9.4</v>
      </c>
      <c r="D13" s="4" t="s">
        <v>41</v>
      </c>
    </row>
    <row r="14" customFormat="false" ht="14.25" hidden="false" customHeight="false" outlineLevel="0" collapsed="false">
      <c r="A14" s="4" t="s">
        <v>38</v>
      </c>
      <c r="B14" s="4" t="s">
        <v>44</v>
      </c>
      <c r="C14" s="4" t="n">
        <v>4.6</v>
      </c>
      <c r="D14" s="4" t="s">
        <v>45</v>
      </c>
    </row>
    <row r="15" customFormat="false" ht="14.25" hidden="false" customHeight="false" outlineLevel="0" collapsed="false">
      <c r="A15" s="4" t="s">
        <v>46</v>
      </c>
      <c r="B15" s="4" t="s">
        <v>47</v>
      </c>
      <c r="C15" s="4" t="n">
        <v>0.71</v>
      </c>
      <c r="D15" s="4" t="s">
        <v>28</v>
      </c>
    </row>
    <row r="16" customFormat="false" ht="14.25" hidden="false" customHeight="false" outlineLevel="0" collapsed="false">
      <c r="A16" s="4" t="s">
        <v>46</v>
      </c>
      <c r="B16" s="4" t="s">
        <v>48</v>
      </c>
      <c r="C16" s="4" t="n">
        <v>0.57</v>
      </c>
      <c r="D16" s="4" t="s">
        <v>28</v>
      </c>
    </row>
    <row r="17" customFormat="false" ht="14.25" hidden="false" customHeight="false" outlineLevel="0" collapsed="false">
      <c r="A17" s="4" t="s">
        <v>46</v>
      </c>
      <c r="B17" s="4" t="s">
        <v>49</v>
      </c>
      <c r="C17" s="4" t="n">
        <v>0.77</v>
      </c>
      <c r="D17" s="4" t="s">
        <v>28</v>
      </c>
    </row>
    <row r="18" customFormat="false" ht="14.25" hidden="false" customHeight="false" outlineLevel="0" collapsed="false">
      <c r="A18" s="4" t="s">
        <v>46</v>
      </c>
      <c r="B18" s="4" t="s">
        <v>50</v>
      </c>
      <c r="C18" s="4" t="n">
        <v>106191</v>
      </c>
      <c r="D18" s="4" t="s">
        <v>30</v>
      </c>
    </row>
    <row r="19" customFormat="false" ht="14.25" hidden="false" customHeight="false" outlineLevel="0" collapsed="false">
      <c r="A19" s="4" t="s">
        <v>46</v>
      </c>
      <c r="B19" s="4" t="s">
        <v>51</v>
      </c>
      <c r="C19" s="4" t="n">
        <v>97422</v>
      </c>
      <c r="D19" s="4" t="s">
        <v>30</v>
      </c>
    </row>
    <row r="20" customFormat="false" ht="14.25" hidden="false" customHeight="false" outlineLevel="0" collapsed="false">
      <c r="A20" s="4" t="s">
        <v>46</v>
      </c>
      <c r="B20" s="4" t="s">
        <v>52</v>
      </c>
      <c r="C20" s="4" t="n">
        <v>678</v>
      </c>
      <c r="D20" s="4" t="s">
        <v>30</v>
      </c>
    </row>
    <row r="21" customFormat="false" ht="14.25" hidden="false" customHeight="false" outlineLevel="0" collapsed="false">
      <c r="A21" s="4" t="s">
        <v>53</v>
      </c>
      <c r="B21" s="4" t="s">
        <v>53</v>
      </c>
      <c r="C21" s="4" t="n">
        <v>19</v>
      </c>
      <c r="D21" s="4" t="s">
        <v>30</v>
      </c>
    </row>
    <row r="22" customFormat="false" ht="14.25" hidden="false" customHeight="false" outlineLevel="0" collapsed="false">
      <c r="A22" s="4" t="s">
        <v>53</v>
      </c>
      <c r="B22" s="4" t="s">
        <v>54</v>
      </c>
      <c r="C22" s="4" t="n">
        <v>8</v>
      </c>
      <c r="D22" s="4" t="s">
        <v>30</v>
      </c>
    </row>
    <row r="23" customFormat="false" ht="14.25" hidden="false" customHeight="false" outlineLevel="0" collapsed="false">
      <c r="A23" s="4" t="s">
        <v>53</v>
      </c>
      <c r="B23" s="4" t="s">
        <v>55</v>
      </c>
      <c r="C23" s="4" t="n">
        <v>11</v>
      </c>
      <c r="D23" s="4" t="s">
        <v>30</v>
      </c>
    </row>
    <row r="24" customFormat="false" ht="14.25" hidden="false" customHeight="false" outlineLevel="0" collapsed="false">
      <c r="A24" s="4" t="s">
        <v>56</v>
      </c>
      <c r="B24" s="4" t="s">
        <v>57</v>
      </c>
      <c r="C24" s="4" t="n">
        <v>18</v>
      </c>
      <c r="D24" s="4" t="s">
        <v>30</v>
      </c>
    </row>
    <row r="25" customFormat="false" ht="14.25" hidden="false" customHeight="false" outlineLevel="0" collapsed="false">
      <c r="A25" s="4" t="s">
        <v>56</v>
      </c>
      <c r="B25" s="4" t="s">
        <v>58</v>
      </c>
      <c r="C25" s="4" t="n">
        <v>11</v>
      </c>
      <c r="D25" s="4" t="s">
        <v>30</v>
      </c>
    </row>
    <row r="26" customFormat="false" ht="14.25" hidden="false" customHeight="false" outlineLevel="0" collapsed="false">
      <c r="A26" s="4" t="s">
        <v>56</v>
      </c>
      <c r="B26" s="4" t="s">
        <v>59</v>
      </c>
      <c r="C26" s="4" t="n">
        <v>7</v>
      </c>
      <c r="D26" s="4" t="s">
        <v>30</v>
      </c>
    </row>
  </sheetData>
  <autoFilter ref="A1:D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11" min="3" style="0" width="10"/>
    <col collapsed="false" customWidth="true" hidden="false" outlineLevel="0" max="12" min="12" style="0" width="13"/>
    <col collapsed="false" customWidth="true" hidden="false" outlineLevel="0" max="13" min="13" style="0" width="16"/>
  </cols>
  <sheetData>
    <row r="1" customFormat="false" ht="14.25" hidden="false" customHeight="false" outlineLevel="0" collapsed="false">
      <c r="A1" s="3" t="s">
        <v>60</v>
      </c>
      <c r="B1" s="3" t="s">
        <v>61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67</v>
      </c>
      <c r="I1" s="3" t="s">
        <v>68</v>
      </c>
      <c r="J1" s="3" t="s">
        <v>69</v>
      </c>
      <c r="K1" s="3" t="s">
        <v>70</v>
      </c>
      <c r="L1" s="3" t="s">
        <v>71</v>
      </c>
      <c r="M1" s="3" t="s">
        <v>72</v>
      </c>
    </row>
    <row r="2" customFormat="false" ht="14.25" hidden="false" customHeight="false" outlineLevel="0" collapsed="false">
      <c r="A2" s="4" t="s">
        <v>73</v>
      </c>
      <c r="B2" s="4" t="s">
        <v>74</v>
      </c>
      <c r="C2" s="4" t="n">
        <v>9</v>
      </c>
      <c r="D2" s="4" t="n">
        <v>8</v>
      </c>
      <c r="E2" s="4" t="n">
        <v>0</v>
      </c>
      <c r="F2" s="4" t="n">
        <v>9</v>
      </c>
      <c r="G2" s="4" t="n">
        <v>8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1</v>
      </c>
    </row>
    <row r="3" customFormat="false" ht="14.25" hidden="false" customHeight="false" outlineLevel="0" collapsed="false">
      <c r="A3" s="4" t="s">
        <v>73</v>
      </c>
      <c r="B3" s="4" t="s">
        <v>75</v>
      </c>
      <c r="C3" s="4" t="n">
        <v>1</v>
      </c>
      <c r="D3" s="4" t="n">
        <v>0</v>
      </c>
      <c r="E3" s="4" t="n">
        <v>0</v>
      </c>
      <c r="F3" s="4" t="n">
        <v>1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</v>
      </c>
    </row>
    <row r="4" customFormat="false" ht="14.25" hidden="false" customHeight="false" outlineLevel="0" collapsed="false">
      <c r="A4" s="4" t="s">
        <v>73</v>
      </c>
      <c r="B4" s="4" t="s">
        <v>76</v>
      </c>
      <c r="C4" s="4" t="n">
        <v>3</v>
      </c>
      <c r="D4" s="4" t="n">
        <v>2</v>
      </c>
      <c r="E4" s="4" t="n">
        <v>0</v>
      </c>
      <c r="F4" s="4" t="n">
        <v>3</v>
      </c>
      <c r="G4" s="4" t="n">
        <v>2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customFormat="false" ht="14.25" hidden="false" customHeight="false" outlineLevel="0" collapsed="false">
      <c r="A5" s="4" t="s">
        <v>73</v>
      </c>
      <c r="B5" s="4" t="s">
        <v>77</v>
      </c>
      <c r="C5" s="4" t="n">
        <v>15</v>
      </c>
      <c r="D5" s="4" t="n">
        <v>15</v>
      </c>
      <c r="E5" s="4" t="n">
        <v>8</v>
      </c>
      <c r="F5" s="4" t="n">
        <v>15</v>
      </c>
      <c r="G5" s="4" t="n">
        <v>15</v>
      </c>
      <c r="H5" s="4" t="n">
        <v>8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customFormat="false" ht="14.25" hidden="false" customHeight="false" outlineLevel="0" collapsed="false">
      <c r="A6" s="4" t="s">
        <v>73</v>
      </c>
      <c r="B6" s="4" t="s">
        <v>78</v>
      </c>
      <c r="C6" s="4" t="n">
        <v>19</v>
      </c>
      <c r="D6" s="4" t="n">
        <v>19</v>
      </c>
      <c r="E6" s="4" t="n">
        <v>12</v>
      </c>
      <c r="F6" s="4" t="n">
        <v>19</v>
      </c>
      <c r="G6" s="4" t="n">
        <v>19</v>
      </c>
      <c r="H6" s="4" t="n">
        <v>12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1</v>
      </c>
    </row>
    <row r="7" customFormat="false" ht="14.25" hidden="false" customHeight="false" outlineLevel="0" collapsed="false">
      <c r="A7" s="4" t="s">
        <v>79</v>
      </c>
      <c r="B7" s="4" t="s">
        <v>80</v>
      </c>
      <c r="C7" s="4" t="n">
        <v>1</v>
      </c>
      <c r="D7" s="4" t="n">
        <v>2</v>
      </c>
      <c r="E7" s="4" t="n">
        <v>0</v>
      </c>
      <c r="F7" s="4" t="n">
        <v>1</v>
      </c>
      <c r="G7" s="4" t="n">
        <v>2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1</v>
      </c>
    </row>
    <row r="8" customFormat="false" ht="14.25" hidden="false" customHeight="false" outlineLevel="0" collapsed="false">
      <c r="A8" s="4" t="s">
        <v>79</v>
      </c>
      <c r="B8" s="4" t="s">
        <v>81</v>
      </c>
      <c r="C8" s="4" t="n">
        <v>16</v>
      </c>
      <c r="D8" s="4" t="n">
        <v>10</v>
      </c>
      <c r="E8" s="4" t="n">
        <v>0</v>
      </c>
      <c r="F8" s="4" t="n">
        <v>16</v>
      </c>
      <c r="G8" s="4" t="n">
        <v>10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1</v>
      </c>
    </row>
    <row r="9" customFormat="false" ht="14.25" hidden="false" customHeight="false" outlineLevel="0" collapsed="false">
      <c r="A9" s="4" t="s">
        <v>79</v>
      </c>
      <c r="B9" s="4" t="s">
        <v>82</v>
      </c>
      <c r="C9" s="4" t="n">
        <v>15</v>
      </c>
      <c r="D9" s="4" t="n">
        <v>15</v>
      </c>
      <c r="E9" s="4" t="n">
        <v>8</v>
      </c>
      <c r="F9" s="4" t="n">
        <v>15</v>
      </c>
      <c r="G9" s="4" t="n">
        <v>15</v>
      </c>
      <c r="H9" s="4" t="n">
        <v>8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1</v>
      </c>
    </row>
    <row r="10" customFormat="false" ht="14.25" hidden="false" customHeight="false" outlineLevel="0" collapsed="false">
      <c r="A10" s="4" t="s">
        <v>79</v>
      </c>
      <c r="B10" s="4" t="s">
        <v>83</v>
      </c>
      <c r="C10" s="4" t="n">
        <v>8</v>
      </c>
      <c r="D10" s="4" t="n">
        <v>7</v>
      </c>
      <c r="E10" s="4" t="n">
        <v>0</v>
      </c>
      <c r="F10" s="4" t="n">
        <v>8</v>
      </c>
      <c r="G10" s="4" t="n">
        <v>7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 customFormat="false" ht="14.25" hidden="false" customHeight="false" outlineLevel="0" collapsed="false">
      <c r="A11" s="4" t="s">
        <v>79</v>
      </c>
      <c r="B11" s="4" t="s">
        <v>84</v>
      </c>
      <c r="C11" s="4" t="n">
        <v>13</v>
      </c>
      <c r="D11" s="4" t="n">
        <v>8</v>
      </c>
      <c r="E11" s="4" t="n">
        <v>0</v>
      </c>
      <c r="F11" s="4" t="n">
        <v>13</v>
      </c>
      <c r="G11" s="4" t="n">
        <v>8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1</v>
      </c>
    </row>
    <row r="12" customFormat="false" ht="14.25" hidden="false" customHeight="false" outlineLevel="0" collapsed="false">
      <c r="A12" s="4" t="s">
        <v>79</v>
      </c>
      <c r="B12" s="4" t="s">
        <v>85</v>
      </c>
      <c r="C12" s="4" t="n">
        <v>1</v>
      </c>
      <c r="D12" s="4" t="n">
        <v>0</v>
      </c>
      <c r="E12" s="4" t="n">
        <v>0</v>
      </c>
      <c r="F12" s="4" t="n">
        <v>1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 customFormat="false" ht="14.25" hidden="false" customHeight="false" outlineLevel="0" collapsed="false">
      <c r="A13" s="4" t="s">
        <v>79</v>
      </c>
      <c r="B13" s="4" t="s">
        <v>86</v>
      </c>
      <c r="C13" s="4" t="n">
        <v>9</v>
      </c>
      <c r="D13" s="4" t="n">
        <v>9</v>
      </c>
      <c r="E13" s="4" t="n">
        <v>0</v>
      </c>
      <c r="F13" s="4" t="n">
        <v>9</v>
      </c>
      <c r="G13" s="4" t="n">
        <v>9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1</v>
      </c>
    </row>
    <row r="14" customFormat="false" ht="14.25" hidden="false" customHeight="false" outlineLevel="0" collapsed="false">
      <c r="A14" s="4" t="s">
        <v>79</v>
      </c>
      <c r="B14" s="4" t="s">
        <v>87</v>
      </c>
      <c r="C14" s="4" t="n">
        <v>10</v>
      </c>
      <c r="D14" s="4" t="n">
        <v>9</v>
      </c>
      <c r="E14" s="4" t="n">
        <v>0</v>
      </c>
      <c r="F14" s="4" t="n">
        <v>10</v>
      </c>
      <c r="G14" s="4" t="n">
        <v>9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1</v>
      </c>
    </row>
    <row r="15" customFormat="false" ht="14.25" hidden="false" customHeight="false" outlineLevel="0" collapsed="false">
      <c r="A15" s="4" t="s">
        <v>79</v>
      </c>
      <c r="B15" s="4" t="s">
        <v>88</v>
      </c>
      <c r="C15" s="4" t="n">
        <v>17</v>
      </c>
      <c r="D15" s="4" t="n">
        <v>18</v>
      </c>
      <c r="E15" s="4" t="n">
        <v>0</v>
      </c>
      <c r="F15" s="4" t="n">
        <v>16</v>
      </c>
      <c r="G15" s="4" t="n">
        <v>18</v>
      </c>
      <c r="H15" s="4" t="n">
        <v>0</v>
      </c>
      <c r="I15" s="4" t="n">
        <v>1</v>
      </c>
      <c r="J15" s="4" t="n">
        <v>0</v>
      </c>
      <c r="K15" s="4" t="n">
        <v>0</v>
      </c>
      <c r="L15" s="4" t="n">
        <v>1</v>
      </c>
      <c r="M15" s="4" t="n">
        <v>0.97</v>
      </c>
    </row>
    <row r="16" customFormat="false" ht="14.25" hidden="false" customHeight="false" outlineLevel="0" collapsed="false">
      <c r="A16" s="4" t="s">
        <v>73</v>
      </c>
      <c r="B16" s="4" t="s">
        <v>89</v>
      </c>
      <c r="C16" s="4" t="n">
        <v>9</v>
      </c>
      <c r="D16" s="4" t="n">
        <v>10</v>
      </c>
      <c r="E16" s="4" t="n">
        <v>5</v>
      </c>
      <c r="F16" s="4" t="n">
        <v>9</v>
      </c>
      <c r="G16" s="4" t="n">
        <v>9</v>
      </c>
      <c r="H16" s="4" t="n">
        <v>5</v>
      </c>
      <c r="I16" s="4" t="n">
        <v>0</v>
      </c>
      <c r="J16" s="4" t="n">
        <v>1</v>
      </c>
      <c r="K16" s="4" t="n">
        <v>0</v>
      </c>
      <c r="L16" s="4" t="n">
        <v>1</v>
      </c>
      <c r="M16" s="4" t="n">
        <v>0.96</v>
      </c>
    </row>
    <row r="17" customFormat="false" ht="14.25" hidden="false" customHeight="false" outlineLevel="0" collapsed="false">
      <c r="A17" s="4" t="s">
        <v>79</v>
      </c>
      <c r="B17" s="4" t="s">
        <v>90</v>
      </c>
      <c r="C17" s="4" t="n">
        <v>10</v>
      </c>
      <c r="D17" s="4" t="n">
        <v>8</v>
      </c>
      <c r="E17" s="4" t="n">
        <v>0</v>
      </c>
      <c r="F17" s="4" t="n">
        <v>10</v>
      </c>
      <c r="G17" s="4" t="n">
        <v>7</v>
      </c>
      <c r="H17" s="4" t="n">
        <v>0</v>
      </c>
      <c r="I17" s="4" t="n">
        <v>0</v>
      </c>
      <c r="J17" s="4" t="n">
        <v>1</v>
      </c>
      <c r="K17" s="4" t="n">
        <v>0</v>
      </c>
      <c r="L17" s="4" t="n">
        <v>1</v>
      </c>
      <c r="M17" s="4" t="n">
        <v>0.94</v>
      </c>
    </row>
    <row r="18" customFormat="false" ht="14.25" hidden="false" customHeight="false" outlineLevel="0" collapsed="false">
      <c r="A18" s="4" t="s">
        <v>73</v>
      </c>
      <c r="B18" s="4" t="s">
        <v>91</v>
      </c>
      <c r="C18" s="4" t="n">
        <v>18</v>
      </c>
      <c r="D18" s="4" t="n">
        <v>18</v>
      </c>
      <c r="E18" s="4" t="n">
        <v>9</v>
      </c>
      <c r="F18" s="4" t="n">
        <v>16</v>
      </c>
      <c r="G18" s="4" t="n">
        <v>18</v>
      </c>
      <c r="H18" s="4" t="n">
        <v>8</v>
      </c>
      <c r="I18" s="4" t="n">
        <v>2</v>
      </c>
      <c r="J18" s="4" t="n">
        <v>0</v>
      </c>
      <c r="K18" s="4" t="n">
        <v>1</v>
      </c>
      <c r="L18" s="4" t="n">
        <v>3</v>
      </c>
      <c r="M18" s="4" t="n">
        <v>0.93</v>
      </c>
    </row>
    <row r="19" customFormat="false" ht="14.25" hidden="false" customHeight="false" outlineLevel="0" collapsed="false">
      <c r="A19" s="4" t="s">
        <v>79</v>
      </c>
      <c r="B19" s="4" t="s">
        <v>92</v>
      </c>
      <c r="C19" s="4" t="n">
        <v>18</v>
      </c>
      <c r="D19" s="4" t="n">
        <v>17</v>
      </c>
      <c r="E19" s="4" t="n">
        <v>8</v>
      </c>
      <c r="F19" s="4" t="n">
        <v>18</v>
      </c>
      <c r="G19" s="4" t="n">
        <v>14</v>
      </c>
      <c r="H19" s="4" t="n">
        <v>8</v>
      </c>
      <c r="I19" s="4" t="n">
        <v>0</v>
      </c>
      <c r="J19" s="4" t="n">
        <v>3</v>
      </c>
      <c r="K19" s="4" t="n">
        <v>0</v>
      </c>
      <c r="L19" s="4" t="n">
        <v>3</v>
      </c>
      <c r="M19" s="4" t="n">
        <v>0.93</v>
      </c>
    </row>
    <row r="20" customFormat="false" ht="14.25" hidden="false" customHeight="false" outlineLevel="0" collapsed="false">
      <c r="A20" s="4" t="s">
        <v>73</v>
      </c>
      <c r="B20" s="4" t="s">
        <v>93</v>
      </c>
      <c r="C20" s="4" t="n">
        <v>7</v>
      </c>
      <c r="D20" s="4" t="n">
        <v>6</v>
      </c>
      <c r="E20" s="4" t="n">
        <v>0</v>
      </c>
      <c r="F20" s="4" t="n">
        <v>7</v>
      </c>
      <c r="G20" s="4" t="n">
        <v>5</v>
      </c>
      <c r="H20" s="4" t="n">
        <v>0</v>
      </c>
      <c r="I20" s="4" t="n">
        <v>0</v>
      </c>
      <c r="J20" s="4" t="n">
        <v>1</v>
      </c>
      <c r="K20" s="4" t="n">
        <v>0</v>
      </c>
      <c r="L20" s="4" t="n">
        <v>1</v>
      </c>
      <c r="M20" s="4" t="n">
        <v>0.92</v>
      </c>
    </row>
    <row r="21" customFormat="false" ht="14.25" hidden="false" customHeight="false" outlineLevel="0" collapsed="false">
      <c r="A21" s="4" t="s">
        <v>73</v>
      </c>
      <c r="B21" s="4" t="s">
        <v>94</v>
      </c>
      <c r="C21" s="4" t="n">
        <v>23</v>
      </c>
      <c r="D21" s="4" t="n">
        <v>23</v>
      </c>
      <c r="E21" s="4" t="n">
        <v>12</v>
      </c>
      <c r="F21" s="4" t="n">
        <v>23</v>
      </c>
      <c r="G21" s="4" t="n">
        <v>18</v>
      </c>
      <c r="H21" s="4" t="n">
        <v>12</v>
      </c>
      <c r="I21" s="4" t="n">
        <v>0</v>
      </c>
      <c r="J21" s="4" t="n">
        <v>5</v>
      </c>
      <c r="K21" s="4" t="n">
        <v>0</v>
      </c>
      <c r="L21" s="4" t="n">
        <v>5</v>
      </c>
      <c r="M21" s="4" t="n">
        <v>0.91</v>
      </c>
    </row>
    <row r="22" customFormat="false" ht="14.25" hidden="false" customHeight="false" outlineLevel="0" collapsed="false">
      <c r="A22" s="4" t="s">
        <v>73</v>
      </c>
      <c r="B22" s="4" t="s">
        <v>95</v>
      </c>
      <c r="C22" s="4" t="n">
        <v>9</v>
      </c>
      <c r="D22" s="4" t="n">
        <v>8</v>
      </c>
      <c r="E22" s="4" t="n">
        <v>5</v>
      </c>
      <c r="F22" s="4" t="n">
        <v>8</v>
      </c>
      <c r="G22" s="4" t="n">
        <v>7</v>
      </c>
      <c r="H22" s="4" t="n">
        <v>5</v>
      </c>
      <c r="I22" s="4" t="n">
        <v>1</v>
      </c>
      <c r="J22" s="4" t="n">
        <v>1</v>
      </c>
      <c r="K22" s="4" t="n">
        <v>0</v>
      </c>
      <c r="L22" s="4" t="n">
        <v>2</v>
      </c>
      <c r="M22" s="4" t="n">
        <v>0.91</v>
      </c>
    </row>
    <row r="23" customFormat="false" ht="14.25" hidden="false" customHeight="false" outlineLevel="0" collapsed="false">
      <c r="A23" s="4" t="s">
        <v>73</v>
      </c>
      <c r="B23" s="4" t="s">
        <v>96</v>
      </c>
      <c r="C23" s="4" t="n">
        <v>8</v>
      </c>
      <c r="D23" s="4" t="n">
        <v>1</v>
      </c>
      <c r="E23" s="4" t="n">
        <v>0</v>
      </c>
      <c r="F23" s="4" t="n">
        <v>7</v>
      </c>
      <c r="G23" s="4" t="n">
        <v>1</v>
      </c>
      <c r="H23" s="4" t="n">
        <v>0</v>
      </c>
      <c r="I23" s="4" t="n">
        <v>1</v>
      </c>
      <c r="J23" s="4" t="n">
        <v>0</v>
      </c>
      <c r="K23" s="4" t="n">
        <v>0</v>
      </c>
      <c r="L23" s="4" t="n">
        <v>1</v>
      </c>
      <c r="M23" s="4" t="n">
        <v>0.89</v>
      </c>
    </row>
    <row r="24" customFormat="false" ht="14.25" hidden="false" customHeight="false" outlineLevel="0" collapsed="false">
      <c r="A24" s="4" t="s">
        <v>79</v>
      </c>
      <c r="B24" s="4" t="s">
        <v>97</v>
      </c>
      <c r="C24" s="4" t="n">
        <v>12</v>
      </c>
      <c r="D24" s="4" t="n">
        <v>9</v>
      </c>
      <c r="E24" s="4" t="n">
        <v>5</v>
      </c>
      <c r="F24" s="4" t="n">
        <v>10</v>
      </c>
      <c r="G24" s="4" t="n">
        <v>8</v>
      </c>
      <c r="H24" s="4" t="n">
        <v>5</v>
      </c>
      <c r="I24" s="4" t="n">
        <v>2</v>
      </c>
      <c r="J24" s="4" t="n">
        <v>1</v>
      </c>
      <c r="K24" s="4" t="n">
        <v>0</v>
      </c>
      <c r="L24" s="4" t="n">
        <v>3</v>
      </c>
      <c r="M24" s="4" t="n">
        <v>0.88</v>
      </c>
    </row>
    <row r="25" customFormat="false" ht="14.25" hidden="false" customHeight="false" outlineLevel="0" collapsed="false">
      <c r="A25" s="4" t="s">
        <v>73</v>
      </c>
      <c r="B25" s="4" t="s">
        <v>98</v>
      </c>
      <c r="C25" s="4" t="n">
        <v>9</v>
      </c>
      <c r="D25" s="4" t="n">
        <v>8</v>
      </c>
      <c r="E25" s="4" t="n">
        <v>0</v>
      </c>
      <c r="F25" s="4" t="n">
        <v>8</v>
      </c>
      <c r="G25" s="4" t="n">
        <v>7</v>
      </c>
      <c r="H25" s="4" t="n">
        <v>0</v>
      </c>
      <c r="I25" s="4" t="n">
        <v>1</v>
      </c>
      <c r="J25" s="4" t="n">
        <v>1</v>
      </c>
      <c r="K25" s="4" t="n">
        <v>0</v>
      </c>
      <c r="L25" s="4" t="n">
        <v>2</v>
      </c>
      <c r="M25" s="4" t="n">
        <v>0.88</v>
      </c>
    </row>
    <row r="26" customFormat="false" ht="14.25" hidden="false" customHeight="false" outlineLevel="0" collapsed="false">
      <c r="A26" s="4" t="s">
        <v>79</v>
      </c>
      <c r="B26" s="4" t="s">
        <v>99</v>
      </c>
      <c r="C26" s="4" t="n">
        <v>8</v>
      </c>
      <c r="D26" s="4" t="n">
        <v>7</v>
      </c>
      <c r="E26" s="4" t="n">
        <v>0</v>
      </c>
      <c r="F26" s="4" t="n">
        <v>7</v>
      </c>
      <c r="G26" s="4" t="n">
        <v>6</v>
      </c>
      <c r="H26" s="4" t="n">
        <v>0</v>
      </c>
      <c r="I26" s="4" t="n">
        <v>1</v>
      </c>
      <c r="J26" s="4" t="n">
        <v>1</v>
      </c>
      <c r="K26" s="4" t="n">
        <v>0</v>
      </c>
      <c r="L26" s="4" t="n">
        <v>2</v>
      </c>
      <c r="M26" s="4" t="n">
        <v>0.87</v>
      </c>
    </row>
    <row r="27" customFormat="false" ht="14.25" hidden="false" customHeight="false" outlineLevel="0" collapsed="false">
      <c r="A27" s="4" t="s">
        <v>79</v>
      </c>
      <c r="B27" s="4" t="s">
        <v>100</v>
      </c>
      <c r="C27" s="4" t="n">
        <v>11</v>
      </c>
      <c r="D27" s="4" t="n">
        <v>9</v>
      </c>
      <c r="E27" s="4" t="n">
        <v>5</v>
      </c>
      <c r="F27" s="4" t="n">
        <v>7</v>
      </c>
      <c r="G27" s="4" t="n">
        <v>9</v>
      </c>
      <c r="H27" s="4" t="n">
        <v>5</v>
      </c>
      <c r="I27" s="4" t="n">
        <v>4</v>
      </c>
      <c r="J27" s="4" t="n">
        <v>0</v>
      </c>
      <c r="K27" s="4" t="n">
        <v>0</v>
      </c>
      <c r="L27" s="4" t="n">
        <v>4</v>
      </c>
      <c r="M27" s="4" t="n">
        <v>0.84</v>
      </c>
    </row>
    <row r="28" customFormat="false" ht="14.25" hidden="false" customHeight="false" outlineLevel="0" collapsed="false">
      <c r="A28" s="4" t="s">
        <v>73</v>
      </c>
      <c r="B28" s="4" t="s">
        <v>101</v>
      </c>
      <c r="C28" s="4" t="n">
        <v>2</v>
      </c>
      <c r="D28" s="4" t="n">
        <v>3</v>
      </c>
      <c r="E28" s="4" t="n">
        <v>1</v>
      </c>
      <c r="F28" s="4" t="n">
        <v>2</v>
      </c>
      <c r="G28" s="4" t="n">
        <v>2</v>
      </c>
      <c r="H28" s="4" t="n">
        <v>1</v>
      </c>
      <c r="I28" s="4" t="n">
        <v>0</v>
      </c>
      <c r="J28" s="4" t="n">
        <v>1</v>
      </c>
      <c r="K28" s="4" t="n">
        <v>0</v>
      </c>
      <c r="L28" s="4" t="n">
        <v>1</v>
      </c>
      <c r="M28" s="4" t="n">
        <v>0.83</v>
      </c>
    </row>
    <row r="29" customFormat="false" ht="14.25" hidden="false" customHeight="false" outlineLevel="0" collapsed="false">
      <c r="A29" s="4" t="s">
        <v>73</v>
      </c>
      <c r="B29" s="4" t="s">
        <v>102</v>
      </c>
      <c r="C29" s="4" t="n">
        <v>4</v>
      </c>
      <c r="D29" s="4" t="n">
        <v>4</v>
      </c>
      <c r="E29" s="4" t="n">
        <v>0</v>
      </c>
      <c r="F29" s="4" t="n">
        <v>3</v>
      </c>
      <c r="G29" s="4" t="n">
        <v>3</v>
      </c>
      <c r="H29" s="4" t="n">
        <v>0</v>
      </c>
      <c r="I29" s="4" t="n">
        <v>1</v>
      </c>
      <c r="J29" s="4" t="n">
        <v>1</v>
      </c>
      <c r="K29" s="4" t="n">
        <v>0</v>
      </c>
      <c r="L29" s="4" t="n">
        <v>2</v>
      </c>
      <c r="M29" s="4" t="n">
        <v>0.75</v>
      </c>
    </row>
  </sheetData>
  <autoFilter ref="A1:M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0"/>
  </cols>
  <sheetData>
    <row r="1" customFormat="false" ht="14.25" hidden="false" customHeight="false" outlineLevel="0" collapsed="false">
      <c r="A1" s="3" t="s">
        <v>103</v>
      </c>
      <c r="B1" s="3" t="s">
        <v>104</v>
      </c>
      <c r="C1" s="3" t="s">
        <v>105</v>
      </c>
    </row>
    <row r="2" customFormat="false" ht="14.25" hidden="false" customHeight="false" outlineLevel="0" collapsed="false">
      <c r="A2" s="4" t="s">
        <v>106</v>
      </c>
      <c r="B2" s="4" t="s">
        <v>107</v>
      </c>
      <c r="C2" s="4" t="n">
        <v>45862</v>
      </c>
    </row>
    <row r="3" customFormat="false" ht="14.25" hidden="false" customHeight="false" outlineLevel="0" collapsed="false">
      <c r="A3" s="4" t="s">
        <v>108</v>
      </c>
      <c r="B3" s="4" t="s">
        <v>107</v>
      </c>
      <c r="C3" s="4" t="n">
        <v>37330</v>
      </c>
    </row>
    <row r="4" customFormat="false" ht="14.25" hidden="false" customHeight="false" outlineLevel="0" collapsed="false">
      <c r="A4" s="4" t="s">
        <v>109</v>
      </c>
      <c r="B4" s="4" t="s">
        <v>107</v>
      </c>
      <c r="C4" s="4" t="n">
        <v>33645</v>
      </c>
    </row>
    <row r="5" customFormat="false" ht="14.25" hidden="false" customHeight="false" outlineLevel="0" collapsed="false">
      <c r="A5" s="4" t="s">
        <v>110</v>
      </c>
      <c r="B5" s="4" t="s">
        <v>107</v>
      </c>
      <c r="C5" s="4" t="n">
        <v>33266</v>
      </c>
    </row>
    <row r="6" customFormat="false" ht="14.25" hidden="false" customHeight="false" outlineLevel="0" collapsed="false">
      <c r="A6" s="4" t="s">
        <v>111</v>
      </c>
      <c r="B6" s="4" t="s">
        <v>107</v>
      </c>
      <c r="C6" s="4" t="n">
        <v>57771</v>
      </c>
    </row>
    <row r="7" customFormat="false" ht="14.25" hidden="false" customHeight="false" outlineLevel="0" collapsed="false">
      <c r="A7" s="4" t="s">
        <v>106</v>
      </c>
      <c r="B7" s="4" t="s">
        <v>112</v>
      </c>
      <c r="C7" s="4" t="n">
        <v>2507</v>
      </c>
    </row>
    <row r="8" customFormat="false" ht="14.25" hidden="false" customHeight="false" outlineLevel="0" collapsed="false">
      <c r="A8" s="4" t="s">
        <v>108</v>
      </c>
      <c r="B8" s="4" t="s">
        <v>112</v>
      </c>
      <c r="C8" s="4" t="n">
        <v>3902</v>
      </c>
    </row>
    <row r="9" customFormat="false" ht="14.25" hidden="false" customHeight="false" outlineLevel="0" collapsed="false">
      <c r="A9" s="4" t="s">
        <v>109</v>
      </c>
      <c r="B9" s="4" t="s">
        <v>112</v>
      </c>
      <c r="C9" s="4" t="n">
        <v>493</v>
      </c>
    </row>
    <row r="10" customFormat="false" ht="14.25" hidden="false" customHeight="false" outlineLevel="0" collapsed="false">
      <c r="A10" s="4" t="s">
        <v>110</v>
      </c>
      <c r="B10" s="4" t="s">
        <v>112</v>
      </c>
      <c r="C10" s="4" t="n">
        <v>583</v>
      </c>
    </row>
    <row r="11" customFormat="false" ht="14.25" hidden="false" customHeight="false" outlineLevel="0" collapsed="false">
      <c r="A11" s="4" t="s">
        <v>111</v>
      </c>
      <c r="B11" s="4" t="s">
        <v>112</v>
      </c>
      <c r="C11" s="4" t="n">
        <v>7080</v>
      </c>
    </row>
  </sheetData>
  <autoFilter ref="A1:C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  <col collapsed="false" customWidth="true" hidden="false" outlineLevel="0" max="3" min="3" style="0" width="21"/>
    <col collapsed="false" customWidth="true" hidden="false" outlineLevel="0" max="4" min="4" style="0" width="19"/>
    <col collapsed="false" customWidth="true" hidden="false" outlineLevel="0" max="6" min="5" style="0" width="13"/>
  </cols>
  <sheetData>
    <row r="1" customFormat="false" ht="14.25" hidden="false" customHeight="false" outlineLevel="0" collapsed="false">
      <c r="A1" s="3" t="s">
        <v>61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</row>
    <row r="2" customFormat="false" ht="14.25" hidden="false" customHeight="false" outlineLevel="0" collapsed="false">
      <c r="A2" s="4" t="s">
        <v>118</v>
      </c>
      <c r="B2" s="4" t="n">
        <v>1.82</v>
      </c>
      <c r="C2" s="4" t="n">
        <v>2.96</v>
      </c>
      <c r="D2" s="4" t="n">
        <v>4.8</v>
      </c>
      <c r="E2" s="4" t="n">
        <v>4.7</v>
      </c>
      <c r="F2" s="4" t="n">
        <v>0</v>
      </c>
    </row>
    <row r="3" customFormat="false" ht="14.25" hidden="false" customHeight="false" outlineLevel="0" collapsed="false">
      <c r="A3" s="4" t="s">
        <v>119</v>
      </c>
      <c r="B3" s="4" t="n">
        <v>2.02</v>
      </c>
      <c r="C3" s="4" t="n">
        <v>3.49</v>
      </c>
      <c r="D3" s="4" t="n">
        <v>5.5</v>
      </c>
      <c r="E3" s="4" t="n">
        <v>5</v>
      </c>
      <c r="F3" s="4" t="n">
        <v>0</v>
      </c>
    </row>
    <row r="4" customFormat="false" ht="14.25" hidden="false" customHeight="false" outlineLevel="0" collapsed="false">
      <c r="A4" s="4" t="s">
        <v>120</v>
      </c>
      <c r="B4" s="4" t="n">
        <v>2.57</v>
      </c>
      <c r="C4" s="4" t="n">
        <v>4.16</v>
      </c>
      <c r="D4" s="4" t="n">
        <v>6.7</v>
      </c>
      <c r="E4" s="4" t="n">
        <v>4.8</v>
      </c>
      <c r="F4" s="4" t="n">
        <v>0</v>
      </c>
    </row>
    <row r="5" customFormat="false" ht="14.25" hidden="false" customHeight="false" outlineLevel="0" collapsed="false">
      <c r="A5" s="4" t="s">
        <v>121</v>
      </c>
      <c r="B5" s="4" t="n">
        <v>2.81</v>
      </c>
      <c r="C5" s="4" t="n">
        <v>4.12</v>
      </c>
      <c r="D5" s="4" t="n">
        <v>6.9</v>
      </c>
      <c r="E5" s="4" t="n">
        <v>4.8</v>
      </c>
      <c r="F5" s="4" t="n">
        <v>0</v>
      </c>
    </row>
    <row r="6" customFormat="false" ht="14.25" hidden="false" customHeight="false" outlineLevel="0" collapsed="false">
      <c r="A6" s="4" t="s">
        <v>122</v>
      </c>
      <c r="B6" s="4" t="n">
        <v>1.95</v>
      </c>
      <c r="C6" s="4" t="n">
        <v>4.42</v>
      </c>
      <c r="D6" s="4" t="n">
        <v>6.4</v>
      </c>
      <c r="E6" s="4" t="n">
        <v>4.9</v>
      </c>
      <c r="F6" s="4" t="n">
        <v>1</v>
      </c>
    </row>
    <row r="7" customFormat="false" ht="14.25" hidden="false" customHeight="false" outlineLevel="0" collapsed="false">
      <c r="A7" s="4" t="s">
        <v>123</v>
      </c>
      <c r="B7" s="4" t="n">
        <v>3.16</v>
      </c>
      <c r="C7" s="4" t="n">
        <v>3.66</v>
      </c>
      <c r="D7" s="4" t="n">
        <v>6.8</v>
      </c>
      <c r="E7" s="4" t="n">
        <v>4.8</v>
      </c>
      <c r="F7" s="4" t="n">
        <v>1</v>
      </c>
    </row>
    <row r="8" customFormat="false" ht="14.25" hidden="false" customHeight="false" outlineLevel="0" collapsed="false">
      <c r="A8" s="4" t="s">
        <v>124</v>
      </c>
      <c r="B8" s="4" t="n">
        <v>3.32</v>
      </c>
      <c r="C8" s="4" t="n">
        <v>4.54</v>
      </c>
      <c r="D8" s="4" t="n">
        <v>7.8</v>
      </c>
      <c r="E8" s="4" t="n">
        <v>4.6</v>
      </c>
      <c r="F8" s="4" t="n">
        <v>1</v>
      </c>
    </row>
    <row r="9" customFormat="false" ht="14.25" hidden="false" customHeight="false" outlineLevel="0" collapsed="false">
      <c r="A9" s="4" t="s">
        <v>125</v>
      </c>
      <c r="B9" s="4" t="n">
        <v>2.83</v>
      </c>
      <c r="C9" s="4" t="n">
        <v>4.25</v>
      </c>
      <c r="D9" s="4" t="n">
        <v>7.1</v>
      </c>
      <c r="E9" s="4"/>
      <c r="F9" s="4" t="n">
        <v>0</v>
      </c>
    </row>
    <row r="10" customFormat="false" ht="14.25" hidden="false" customHeight="false" outlineLevel="0" collapsed="false">
      <c r="A10" s="4" t="s">
        <v>126</v>
      </c>
      <c r="B10" s="4" t="n">
        <v>3.75</v>
      </c>
      <c r="C10" s="4" t="n">
        <v>3.52</v>
      </c>
      <c r="D10" s="4" t="n">
        <v>7.3</v>
      </c>
      <c r="E10" s="4" t="n">
        <v>4.4</v>
      </c>
      <c r="F10" s="4" t="n">
        <v>0</v>
      </c>
    </row>
    <row r="11" customFormat="false" ht="14.25" hidden="false" customHeight="false" outlineLevel="0" collapsed="false">
      <c r="A11" s="4" t="s">
        <v>127</v>
      </c>
      <c r="B11" s="4" t="n">
        <v>1.74</v>
      </c>
      <c r="C11" s="4" t="n">
        <v>5.84</v>
      </c>
      <c r="D11" s="4" t="n">
        <v>7.4</v>
      </c>
      <c r="E11" s="4" t="n">
        <v>4.8</v>
      </c>
      <c r="F11" s="4" t="n">
        <v>0</v>
      </c>
    </row>
    <row r="12" customFormat="false" ht="14.25" hidden="false" customHeight="false" outlineLevel="0" collapsed="false">
      <c r="A12" s="4" t="s">
        <v>128</v>
      </c>
      <c r="B12" s="4" t="n">
        <v>2.71</v>
      </c>
      <c r="C12" s="4" t="n">
        <v>4.71</v>
      </c>
      <c r="D12" s="4" t="n">
        <v>7.5</v>
      </c>
      <c r="E12" s="4" t="n">
        <v>4.8</v>
      </c>
      <c r="F12" s="4" t="n">
        <v>0</v>
      </c>
    </row>
    <row r="13" customFormat="false" ht="14.25" hidden="false" customHeight="false" outlineLevel="0" collapsed="false">
      <c r="A13" s="4" t="s">
        <v>129</v>
      </c>
      <c r="B13" s="4" t="n">
        <v>4.23</v>
      </c>
      <c r="C13" s="4" t="n">
        <v>3.67</v>
      </c>
      <c r="D13" s="4" t="n">
        <v>7.9</v>
      </c>
      <c r="E13" s="4" t="n">
        <v>4.6</v>
      </c>
      <c r="F13" s="4" t="n">
        <v>0</v>
      </c>
    </row>
    <row r="14" customFormat="false" ht="14.25" hidden="false" customHeight="false" outlineLevel="0" collapsed="false">
      <c r="A14" s="4" t="s">
        <v>130</v>
      </c>
      <c r="B14" s="4" t="n">
        <v>4.1</v>
      </c>
      <c r="C14" s="4" t="n">
        <v>4.18</v>
      </c>
      <c r="D14" s="4" t="n">
        <v>8.3</v>
      </c>
      <c r="E14" s="4" t="n">
        <v>3.9</v>
      </c>
      <c r="F14" s="4" t="n">
        <v>0</v>
      </c>
    </row>
    <row r="15" customFormat="false" ht="14.25" hidden="false" customHeight="false" outlineLevel="0" collapsed="false">
      <c r="A15" s="4" t="s">
        <v>131</v>
      </c>
      <c r="B15" s="4" t="n">
        <v>1.9</v>
      </c>
      <c r="C15" s="4" t="n">
        <v>2.68</v>
      </c>
      <c r="D15" s="4" t="n">
        <v>4.6</v>
      </c>
      <c r="E15" s="4" t="n">
        <v>3.5</v>
      </c>
      <c r="F15" s="4" t="n">
        <v>1</v>
      </c>
    </row>
    <row r="16" customFormat="false" ht="14.25" hidden="false" customHeight="false" outlineLevel="0" collapsed="false">
      <c r="A16" s="4" t="s">
        <v>132</v>
      </c>
      <c r="B16" s="4" t="n">
        <v>2.22</v>
      </c>
      <c r="C16" s="4" t="n">
        <v>3.6</v>
      </c>
      <c r="D16" s="4" t="n">
        <v>5.8</v>
      </c>
      <c r="E16" s="4" t="n">
        <v>4.3</v>
      </c>
      <c r="F16" s="4" t="n">
        <v>1</v>
      </c>
    </row>
    <row r="17" customFormat="false" ht="14.25" hidden="false" customHeight="false" outlineLevel="0" collapsed="false">
      <c r="A17" s="4" t="s">
        <v>133</v>
      </c>
      <c r="B17" s="4" t="n">
        <v>4.23</v>
      </c>
      <c r="C17" s="4" t="n">
        <v>3.98</v>
      </c>
      <c r="D17" s="4" t="n">
        <v>8.3</v>
      </c>
      <c r="E17" s="4" t="n">
        <v>4.2</v>
      </c>
      <c r="F17" s="4" t="n">
        <v>1</v>
      </c>
    </row>
    <row r="18" customFormat="false" ht="14.25" hidden="false" customHeight="false" outlineLevel="0" collapsed="false">
      <c r="A18" s="4" t="s">
        <v>134</v>
      </c>
      <c r="B18" s="4" t="n">
        <v>7.91</v>
      </c>
      <c r="C18" s="4" t="n">
        <v>7</v>
      </c>
      <c r="D18" s="4" t="n">
        <v>14.9</v>
      </c>
      <c r="E18" s="4" t="n">
        <v>3.4</v>
      </c>
      <c r="F18" s="4" t="n">
        <v>1</v>
      </c>
    </row>
    <row r="19" customFormat="false" ht="14.25" hidden="false" customHeight="false" outlineLevel="0" collapsed="false">
      <c r="A19" s="4" t="s">
        <v>135</v>
      </c>
      <c r="B19" s="4" t="n">
        <v>5.77</v>
      </c>
      <c r="C19" s="4" t="n">
        <v>2.7</v>
      </c>
      <c r="D19" s="4" t="n">
        <v>8.3</v>
      </c>
      <c r="E19" s="4" t="n">
        <v>3</v>
      </c>
      <c r="F19" s="4" t="n">
        <v>0</v>
      </c>
    </row>
    <row r="20" customFormat="false" ht="14.25" hidden="false" customHeight="false" outlineLevel="0" collapsed="false">
      <c r="A20" s="4" t="s">
        <v>136</v>
      </c>
      <c r="B20" s="4" t="n">
        <v>3.33</v>
      </c>
      <c r="C20" s="4" t="n">
        <v>6.11</v>
      </c>
      <c r="D20" s="4" t="n">
        <v>9.4</v>
      </c>
      <c r="E20" s="4" t="n">
        <v>5</v>
      </c>
      <c r="F20" s="4" t="n">
        <v>0</v>
      </c>
    </row>
    <row r="21" customFormat="false" ht="14.25" hidden="false" customHeight="false" outlineLevel="0" collapsed="false">
      <c r="A21" s="4" t="s">
        <v>137</v>
      </c>
      <c r="B21" s="4" t="n">
        <v>7.38</v>
      </c>
      <c r="C21" s="4" t="n">
        <v>2.31</v>
      </c>
      <c r="D21" s="4" t="n">
        <v>9.8</v>
      </c>
      <c r="E21" s="4" t="n">
        <v>4.8</v>
      </c>
      <c r="F21" s="4" t="n">
        <v>0</v>
      </c>
    </row>
    <row r="22" customFormat="false" ht="14.25" hidden="false" customHeight="false" outlineLevel="0" collapsed="false">
      <c r="A22" s="4" t="s">
        <v>138</v>
      </c>
      <c r="B22" s="4" t="n">
        <v>8.4</v>
      </c>
      <c r="C22" s="4" t="n">
        <v>7.16</v>
      </c>
      <c r="D22" s="4" t="n">
        <v>15.7</v>
      </c>
      <c r="E22" s="4" t="n">
        <v>4.3</v>
      </c>
      <c r="F22" s="4" t="n">
        <v>0</v>
      </c>
    </row>
    <row r="23" customFormat="false" ht="14.25" hidden="false" customHeight="false" outlineLevel="0" collapsed="false">
      <c r="A23" s="4" t="s">
        <v>139</v>
      </c>
      <c r="B23" s="4" t="n">
        <v>10.16</v>
      </c>
      <c r="C23" s="4" t="n">
        <v>7.22</v>
      </c>
      <c r="D23" s="4" t="n">
        <v>17.3</v>
      </c>
      <c r="E23" s="4" t="n">
        <v>4.3</v>
      </c>
      <c r="F23" s="4" t="n">
        <v>0</v>
      </c>
    </row>
  </sheetData>
  <autoFilter ref="A1:F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4.25" hidden="false" customHeight="false" outlineLevel="0" collapsed="false">
      <c r="A1" s="3" t="s">
        <v>140</v>
      </c>
      <c r="B1" s="3" t="s">
        <v>141</v>
      </c>
    </row>
    <row r="2" customFormat="false" ht="14.25" hidden="false" customHeight="false" outlineLevel="0" collapsed="false">
      <c r="A2" s="4" t="s">
        <v>142</v>
      </c>
      <c r="B2" s="4" t="n">
        <v>0.29</v>
      </c>
    </row>
    <row r="3" customFormat="false" ht="14.25" hidden="false" customHeight="false" outlineLevel="0" collapsed="false">
      <c r="A3" s="4" t="s">
        <v>143</v>
      </c>
      <c r="B3" s="4" t="n">
        <v>0.28</v>
      </c>
    </row>
    <row r="4" customFormat="false" ht="14.25" hidden="false" customHeight="false" outlineLevel="0" collapsed="false">
      <c r="A4" s="4" t="s">
        <v>144</v>
      </c>
      <c r="B4" s="4" t="n">
        <v>0.16</v>
      </c>
    </row>
    <row r="5" customFormat="false" ht="14.25" hidden="false" customHeight="false" outlineLevel="0" collapsed="false">
      <c r="A5" s="4" t="s">
        <v>145</v>
      </c>
      <c r="B5" s="4" t="n">
        <v>0.14</v>
      </c>
    </row>
    <row r="6" customFormat="false" ht="14.25" hidden="false" customHeight="false" outlineLevel="0" collapsed="false">
      <c r="A6" s="4" t="s">
        <v>146</v>
      </c>
      <c r="B6" s="4" t="n">
        <v>0.13</v>
      </c>
    </row>
  </sheetData>
  <autoFilter ref="A1:B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5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9"/>
    <col collapsed="false" customWidth="true" hidden="false" outlineLevel="0" max="7" min="7" style="0" width="13"/>
  </cols>
  <sheetData>
    <row r="1" customFormat="false" ht="14.25" hidden="false" customHeight="false" outlineLevel="0" collapsed="false">
      <c r="A1" s="3" t="s">
        <v>147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117</v>
      </c>
    </row>
    <row r="2" customFormat="false" ht="14.25" hidden="false" customHeight="false" outlineLevel="0" collapsed="false">
      <c r="A2" s="4" t="s">
        <v>153</v>
      </c>
      <c r="B2" s="4" t="n">
        <v>24</v>
      </c>
      <c r="C2" s="4" t="n">
        <v>9</v>
      </c>
      <c r="D2" s="4" t="n">
        <v>4469</v>
      </c>
      <c r="E2" s="4" t="n">
        <v>5630</v>
      </c>
      <c r="F2" s="4" t="n">
        <v>0.93</v>
      </c>
      <c r="G2" s="4" t="n">
        <v>0</v>
      </c>
    </row>
    <row r="3" customFormat="false" ht="14.25" hidden="false" customHeight="false" outlineLevel="0" collapsed="false">
      <c r="A3" s="4" t="s">
        <v>154</v>
      </c>
      <c r="B3" s="4" t="n">
        <v>22</v>
      </c>
      <c r="C3" s="4" t="n">
        <v>12</v>
      </c>
      <c r="D3" s="4" t="n">
        <v>3910</v>
      </c>
      <c r="E3" s="4" t="n">
        <v>5005</v>
      </c>
      <c r="F3" s="4" t="n">
        <v>0.91</v>
      </c>
      <c r="G3" s="4" t="n">
        <v>0</v>
      </c>
    </row>
    <row r="4" customFormat="false" ht="14.25" hidden="false" customHeight="false" outlineLevel="0" collapsed="false">
      <c r="A4" s="4" t="s">
        <v>155</v>
      </c>
      <c r="B4" s="4" t="n">
        <v>16</v>
      </c>
      <c r="C4" s="4" t="n">
        <v>7</v>
      </c>
      <c r="D4" s="4" t="n">
        <v>4394</v>
      </c>
      <c r="E4" s="4" t="n">
        <v>3913</v>
      </c>
      <c r="F4" s="4" t="n">
        <v>0.86</v>
      </c>
      <c r="G4" s="4" t="n">
        <v>0</v>
      </c>
    </row>
    <row r="5" customFormat="false" ht="14.25" hidden="false" customHeight="false" outlineLevel="0" collapsed="false">
      <c r="A5" s="4" t="s">
        <v>156</v>
      </c>
      <c r="B5" s="4" t="n">
        <v>20</v>
      </c>
      <c r="C5" s="4" t="n">
        <v>15</v>
      </c>
      <c r="D5" s="4" t="n">
        <v>3132</v>
      </c>
      <c r="E5" s="4" t="n">
        <v>3040</v>
      </c>
      <c r="F5" s="4" t="n">
        <v>0.85</v>
      </c>
      <c r="G5" s="4" t="n">
        <v>0</v>
      </c>
    </row>
    <row r="6" customFormat="false" ht="14.25" hidden="false" customHeight="false" outlineLevel="0" collapsed="false">
      <c r="A6" s="4" t="s">
        <v>157</v>
      </c>
      <c r="B6" s="4" t="n">
        <v>53</v>
      </c>
      <c r="C6" s="4" t="n">
        <v>16</v>
      </c>
      <c r="D6" s="4" t="n">
        <v>8814</v>
      </c>
      <c r="E6" s="4" t="n">
        <v>9578</v>
      </c>
      <c r="F6" s="4" t="n">
        <v>0.85</v>
      </c>
      <c r="G6" s="4" t="n">
        <v>0</v>
      </c>
    </row>
    <row r="7" customFormat="false" ht="14.25" hidden="false" customHeight="false" outlineLevel="0" collapsed="false">
      <c r="A7" s="4" t="s">
        <v>158</v>
      </c>
      <c r="B7" s="4" t="n">
        <v>38</v>
      </c>
      <c r="C7" s="4" t="n">
        <v>17</v>
      </c>
      <c r="D7" s="4" t="n">
        <v>3293</v>
      </c>
      <c r="E7" s="4" t="n">
        <v>3079</v>
      </c>
      <c r="F7" s="4" t="n">
        <v>0.84</v>
      </c>
      <c r="G7" s="4" t="n">
        <v>0</v>
      </c>
    </row>
    <row r="8" customFormat="false" ht="14.25" hidden="false" customHeight="false" outlineLevel="0" collapsed="false">
      <c r="A8" s="4" t="s">
        <v>159</v>
      </c>
      <c r="B8" s="4" t="n">
        <v>65</v>
      </c>
      <c r="C8" s="4" t="n">
        <v>23</v>
      </c>
      <c r="D8" s="4" t="n">
        <v>12353</v>
      </c>
      <c r="E8" s="4" t="n">
        <v>13085</v>
      </c>
      <c r="F8" s="4" t="n">
        <v>0.81</v>
      </c>
      <c r="G8" s="4" t="n">
        <v>0</v>
      </c>
    </row>
    <row r="9" customFormat="false" ht="14.25" hidden="false" customHeight="false" outlineLevel="0" collapsed="false">
      <c r="A9" s="4" t="s">
        <v>160</v>
      </c>
      <c r="B9" s="4" t="n">
        <v>22</v>
      </c>
      <c r="C9" s="4" t="n">
        <v>9</v>
      </c>
      <c r="D9" s="4" t="n">
        <v>3881</v>
      </c>
      <c r="E9" s="4" t="n">
        <v>4048</v>
      </c>
      <c r="F9" s="4" t="n">
        <v>0.85</v>
      </c>
      <c r="G9" s="4" t="n">
        <v>1</v>
      </c>
    </row>
    <row r="10" customFormat="false" ht="14.25" hidden="false" customHeight="false" outlineLevel="0" collapsed="false">
      <c r="A10" s="4" t="s">
        <v>161</v>
      </c>
      <c r="B10" s="4" t="n">
        <v>32</v>
      </c>
      <c r="C10" s="4" t="n">
        <v>6</v>
      </c>
      <c r="D10" s="4" t="n">
        <v>5664</v>
      </c>
      <c r="E10" s="4" t="n">
        <v>6236</v>
      </c>
      <c r="F10" s="4" t="n">
        <v>0.85</v>
      </c>
      <c r="G10" s="4" t="n">
        <v>1</v>
      </c>
    </row>
    <row r="11" customFormat="false" ht="14.25" hidden="false" customHeight="false" outlineLevel="0" collapsed="false">
      <c r="A11" s="4" t="s">
        <v>162</v>
      </c>
      <c r="B11" s="4" t="n">
        <v>11</v>
      </c>
      <c r="C11" s="4" t="n">
        <v>10</v>
      </c>
      <c r="D11" s="4" t="n">
        <v>2808</v>
      </c>
      <c r="E11" s="4" t="n">
        <v>2801</v>
      </c>
      <c r="F11" s="4" t="n">
        <v>0.64</v>
      </c>
      <c r="G11" s="4" t="n">
        <v>1</v>
      </c>
    </row>
    <row r="12" customFormat="false" ht="14.25" hidden="false" customHeight="false" outlineLevel="0" collapsed="false">
      <c r="A12" s="4" t="s">
        <v>163</v>
      </c>
      <c r="B12" s="4" t="n">
        <v>90</v>
      </c>
      <c r="C12" s="4" t="n">
        <v>33</v>
      </c>
      <c r="D12" s="4" t="n">
        <v>12934</v>
      </c>
      <c r="E12" s="4" t="n">
        <v>12297</v>
      </c>
      <c r="F12" s="4" t="n">
        <v>0.78</v>
      </c>
      <c r="G12" s="4" t="n">
        <v>0</v>
      </c>
    </row>
    <row r="13" customFormat="false" ht="14.25" hidden="false" customHeight="false" outlineLevel="0" collapsed="false">
      <c r="A13" s="4" t="s">
        <v>164</v>
      </c>
      <c r="B13" s="4" t="n">
        <v>19</v>
      </c>
      <c r="C13" s="4" t="n">
        <v>7</v>
      </c>
      <c r="D13" s="4" t="n">
        <v>4854</v>
      </c>
      <c r="E13" s="4" t="n">
        <v>4471</v>
      </c>
      <c r="F13" s="4" t="n">
        <v>0.93</v>
      </c>
      <c r="G13" s="4" t="n">
        <v>1</v>
      </c>
    </row>
    <row r="14" customFormat="false" ht="14.25" hidden="false" customHeight="false" outlineLevel="0" collapsed="false">
      <c r="A14" s="4" t="s">
        <v>165</v>
      </c>
      <c r="B14" s="4" t="n">
        <v>36</v>
      </c>
      <c r="C14" s="4" t="n">
        <v>9</v>
      </c>
      <c r="D14" s="4" t="n">
        <v>1930</v>
      </c>
      <c r="E14" s="4" t="n">
        <v>1884</v>
      </c>
      <c r="F14" s="4" t="n">
        <v>0.84</v>
      </c>
      <c r="G14" s="4" t="n">
        <v>1</v>
      </c>
    </row>
    <row r="15" customFormat="false" ht="14.25" hidden="false" customHeight="false" outlineLevel="0" collapsed="false">
      <c r="A15" s="4" t="s">
        <v>166</v>
      </c>
      <c r="B15" s="4" t="n">
        <v>13</v>
      </c>
      <c r="C15" s="4" t="n">
        <v>7</v>
      </c>
      <c r="D15" s="4" t="n">
        <v>3306</v>
      </c>
      <c r="E15" s="4" t="n">
        <v>2589</v>
      </c>
      <c r="F15" s="4" t="n">
        <v>0.79</v>
      </c>
      <c r="G15" s="4" t="n">
        <v>1</v>
      </c>
    </row>
    <row r="16" customFormat="false" ht="14.25" hidden="false" customHeight="false" outlineLevel="0" collapsed="false">
      <c r="A16" s="4" t="s">
        <v>167</v>
      </c>
      <c r="B16" s="4" t="n">
        <v>22</v>
      </c>
      <c r="C16" s="4" t="n">
        <v>12</v>
      </c>
      <c r="D16" s="4" t="n">
        <v>2844</v>
      </c>
      <c r="E16" s="4" t="n">
        <v>3353</v>
      </c>
      <c r="F16" s="4" t="n">
        <v>0.5</v>
      </c>
      <c r="G16" s="4" t="n">
        <v>1</v>
      </c>
    </row>
    <row r="17" customFormat="false" ht="14.25" hidden="false" customHeight="false" outlineLevel="0" collapsed="false">
      <c r="A17" s="4" t="s">
        <v>168</v>
      </c>
      <c r="B17" s="4" t="n">
        <v>17</v>
      </c>
      <c r="C17" s="4" t="n">
        <v>13</v>
      </c>
      <c r="D17" s="4" t="n">
        <v>4350</v>
      </c>
      <c r="E17" s="4" t="n">
        <v>3467</v>
      </c>
      <c r="F17" s="4" t="n">
        <v>0.74</v>
      </c>
      <c r="G17" s="4" t="n">
        <v>0</v>
      </c>
    </row>
    <row r="18" customFormat="false" ht="14.25" hidden="false" customHeight="false" outlineLevel="0" collapsed="false">
      <c r="A18" s="4" t="s">
        <v>169</v>
      </c>
      <c r="B18" s="4" t="n">
        <v>42</v>
      </c>
      <c r="C18" s="4" t="n">
        <v>6</v>
      </c>
      <c r="D18" s="4" t="n">
        <v>8233</v>
      </c>
      <c r="E18" s="4" t="n">
        <v>8114</v>
      </c>
      <c r="F18" s="4" t="n">
        <v>0.71</v>
      </c>
      <c r="G18" s="4" t="n">
        <v>0</v>
      </c>
    </row>
    <row r="19" customFormat="false" ht="14.25" hidden="false" customHeight="false" outlineLevel="0" collapsed="false">
      <c r="A19" s="4" t="s">
        <v>170</v>
      </c>
      <c r="B19" s="4" t="n">
        <v>27</v>
      </c>
      <c r="C19" s="4" t="n">
        <v>6</v>
      </c>
      <c r="D19" s="4" t="n">
        <v>9315</v>
      </c>
      <c r="E19" s="4" t="n">
        <v>14060</v>
      </c>
      <c r="F19" s="4" t="n">
        <v>0.71</v>
      </c>
      <c r="G19" s="4" t="n">
        <v>0</v>
      </c>
    </row>
    <row r="20" customFormat="false" ht="14.25" hidden="false" customHeight="false" outlineLevel="0" collapsed="false">
      <c r="A20" s="4" t="s">
        <v>171</v>
      </c>
      <c r="B20" s="4" t="n">
        <v>31</v>
      </c>
      <c r="C20" s="4" t="n">
        <v>13</v>
      </c>
      <c r="D20" s="4" t="n">
        <v>3726</v>
      </c>
      <c r="E20" s="4" t="n">
        <v>3236</v>
      </c>
      <c r="F20" s="4" t="n">
        <v>0.63</v>
      </c>
      <c r="G20" s="4" t="n">
        <v>0</v>
      </c>
    </row>
    <row r="21" customFormat="false" ht="14.25" hidden="false" customHeight="false" outlineLevel="0" collapsed="false">
      <c r="A21" s="4" t="s">
        <v>172</v>
      </c>
      <c r="B21" s="4" t="n">
        <v>21</v>
      </c>
      <c r="C21" s="4" t="n">
        <v>8</v>
      </c>
      <c r="D21" s="4" t="n">
        <v>5628</v>
      </c>
      <c r="E21" s="4" t="n">
        <v>4629</v>
      </c>
      <c r="F21" s="4" t="n">
        <v>0.63</v>
      </c>
      <c r="G21" s="4" t="n">
        <v>0</v>
      </c>
    </row>
    <row r="22" customFormat="false" ht="14.25" hidden="false" customHeight="false" outlineLevel="0" collapsed="false">
      <c r="A22" s="4" t="s">
        <v>173</v>
      </c>
      <c r="B22" s="4" t="n">
        <v>17</v>
      </c>
      <c r="C22" s="4" t="n">
        <v>10</v>
      </c>
      <c r="D22" s="4" t="n">
        <v>9214</v>
      </c>
      <c r="E22" s="4" t="n">
        <v>5646</v>
      </c>
      <c r="F22" s="4" t="n">
        <v>0.52</v>
      </c>
      <c r="G22" s="4" t="n">
        <v>0</v>
      </c>
    </row>
    <row r="23" customFormat="false" ht="14.25" hidden="false" customHeight="false" outlineLevel="0" collapsed="false">
      <c r="A23" s="4" t="s">
        <v>174</v>
      </c>
      <c r="B23" s="4" t="n">
        <v>66</v>
      </c>
      <c r="C23" s="4" t="n">
        <v>6</v>
      </c>
      <c r="D23" s="4" t="n">
        <v>12426</v>
      </c>
      <c r="E23" s="4" t="n">
        <v>2643</v>
      </c>
      <c r="F23" s="4" t="n">
        <v>0.2</v>
      </c>
      <c r="G23" s="4" t="n">
        <v>0</v>
      </c>
    </row>
  </sheetData>
  <autoFilter ref="A1:G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" activeCellId="0" sqref="D5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21"/>
    <col collapsed="false" customWidth="true" hidden="false" outlineLevel="0" max="5" min="5" style="0" width="25"/>
    <col collapsed="false" customWidth="true" hidden="false" outlineLevel="0" max="7" min="6" style="0" width="20"/>
  </cols>
  <sheetData>
    <row r="1" customFormat="false" ht="14.25" hidden="false" customHeight="false" outlineLevel="0" collapsed="false">
      <c r="A1" s="3" t="s">
        <v>175</v>
      </c>
      <c r="B1" s="3" t="s">
        <v>176</v>
      </c>
      <c r="C1" s="3" t="s">
        <v>177</v>
      </c>
      <c r="D1" s="3" t="s">
        <v>178</v>
      </c>
      <c r="E1" s="3" t="s">
        <v>179</v>
      </c>
      <c r="F1" s="3" t="s">
        <v>180</v>
      </c>
      <c r="G1" s="3" t="s">
        <v>181</v>
      </c>
      <c r="H1" s="3" t="s">
        <v>182</v>
      </c>
    </row>
    <row r="2" customFormat="false" ht="14.25" hidden="false" customHeight="false" outlineLevel="0" collapsed="false">
      <c r="A2" s="4" t="s">
        <v>183</v>
      </c>
      <c r="B2" s="4" t="s">
        <v>54</v>
      </c>
      <c r="C2" s="4" t="n">
        <v>0.98</v>
      </c>
      <c r="D2" s="4" t="n">
        <v>0.95</v>
      </c>
      <c r="E2" s="4" t="n">
        <f aca="false">AVERAGE(C2:D2)</f>
        <v>0.965</v>
      </c>
      <c r="F2" s="4" t="s">
        <v>184</v>
      </c>
      <c r="G2" s="4" t="s">
        <v>185</v>
      </c>
      <c r="H2" s="4" t="s">
        <v>185</v>
      </c>
    </row>
    <row r="3" customFormat="false" ht="14.25" hidden="false" customHeight="false" outlineLevel="0" collapsed="false">
      <c r="A3" s="4" t="s">
        <v>186</v>
      </c>
      <c r="B3" s="4" t="s">
        <v>54</v>
      </c>
      <c r="C3" s="4" t="n">
        <v>1</v>
      </c>
      <c r="D3" s="4" t="n">
        <v>1</v>
      </c>
      <c r="E3" s="4" t="n">
        <f aca="false">AVERAGE(C3:D3)</f>
        <v>1</v>
      </c>
      <c r="F3" s="4" t="s">
        <v>184</v>
      </c>
      <c r="G3" s="4" t="s">
        <v>187</v>
      </c>
      <c r="H3" s="4" t="s">
        <v>185</v>
      </c>
    </row>
    <row r="4" customFormat="false" ht="14.25" hidden="false" customHeight="false" outlineLevel="0" collapsed="false">
      <c r="A4" s="4" t="s">
        <v>188</v>
      </c>
      <c r="B4" s="4" t="s">
        <v>54</v>
      </c>
      <c r="C4" s="4" t="n">
        <v>1</v>
      </c>
      <c r="D4" s="4" t="n">
        <v>0.5</v>
      </c>
      <c r="E4" s="4" t="n">
        <f aca="false">AVERAGE(C4:D4)</f>
        <v>0.75</v>
      </c>
      <c r="F4" s="4" t="s">
        <v>184</v>
      </c>
      <c r="G4" s="4" t="s">
        <v>185</v>
      </c>
      <c r="H4" s="4" t="s">
        <v>185</v>
      </c>
    </row>
    <row r="5" customFormat="false" ht="14.25" hidden="false" customHeight="false" outlineLevel="0" collapsed="false">
      <c r="A5" s="4" t="s">
        <v>189</v>
      </c>
      <c r="B5" s="4" t="s">
        <v>54</v>
      </c>
      <c r="C5" s="4" t="n">
        <v>0.97</v>
      </c>
      <c r="D5" s="4" t="n">
        <v>0.95</v>
      </c>
      <c r="E5" s="4" t="n">
        <f aca="false">AVERAGE(C5:D5)</f>
        <v>0.96</v>
      </c>
      <c r="F5" s="4" t="s">
        <v>190</v>
      </c>
      <c r="G5" s="4" t="s">
        <v>185</v>
      </c>
      <c r="H5" s="4" t="s">
        <v>185</v>
      </c>
    </row>
    <row r="6" customFormat="false" ht="14.25" hidden="false" customHeight="false" outlineLevel="0" collapsed="false">
      <c r="A6" s="4" t="s">
        <v>191</v>
      </c>
      <c r="B6" s="4" t="s">
        <v>54</v>
      </c>
      <c r="C6" s="4" t="n">
        <v>0.93</v>
      </c>
      <c r="D6" s="4" t="n">
        <v>0.59</v>
      </c>
      <c r="E6" s="4" t="n">
        <f aca="false">AVERAGE(C6:D6)</f>
        <v>0.76</v>
      </c>
      <c r="F6" s="4" t="s">
        <v>190</v>
      </c>
      <c r="G6" s="4" t="s">
        <v>185</v>
      </c>
      <c r="H6" s="4" t="s">
        <v>185</v>
      </c>
    </row>
    <row r="7" customFormat="false" ht="14.25" hidden="false" customHeight="false" outlineLevel="0" collapsed="false">
      <c r="A7" s="4" t="s">
        <v>192</v>
      </c>
      <c r="B7" s="4" t="s">
        <v>54</v>
      </c>
      <c r="C7" s="4" t="n">
        <v>0.66</v>
      </c>
      <c r="D7" s="4" t="n">
        <v>0.2</v>
      </c>
      <c r="E7" s="4" t="n">
        <f aca="false">AVERAGE(C7:D7)</f>
        <v>0.43</v>
      </c>
      <c r="F7" s="4" t="s">
        <v>193</v>
      </c>
      <c r="G7" s="4" t="s">
        <v>185</v>
      </c>
      <c r="H7" s="4" t="s">
        <v>185</v>
      </c>
    </row>
    <row r="8" customFormat="false" ht="14.25" hidden="false" customHeight="false" outlineLevel="0" collapsed="false">
      <c r="A8" s="4" t="s">
        <v>194</v>
      </c>
      <c r="B8" s="4" t="s">
        <v>54</v>
      </c>
      <c r="C8" s="4" t="n">
        <v>0.15</v>
      </c>
      <c r="D8" s="4" t="n">
        <v>0</v>
      </c>
      <c r="E8" s="4" t="n">
        <f aca="false">AVERAGE(C8:D8)</f>
        <v>0.075</v>
      </c>
      <c r="F8" s="4" t="s">
        <v>195</v>
      </c>
      <c r="G8" s="4" t="s">
        <v>185</v>
      </c>
      <c r="H8" s="4" t="s">
        <v>185</v>
      </c>
    </row>
    <row r="9" customFormat="false" ht="14.25" hidden="false" customHeight="false" outlineLevel="0" collapsed="false">
      <c r="A9" s="4" t="s">
        <v>196</v>
      </c>
      <c r="B9" s="4" t="s">
        <v>54</v>
      </c>
      <c r="C9" s="4" t="n">
        <v>0.15</v>
      </c>
      <c r="D9" s="4" t="n">
        <v>0</v>
      </c>
      <c r="E9" s="4" t="n">
        <f aca="false">AVERAGE(C9:D9)</f>
        <v>0.075</v>
      </c>
      <c r="F9" s="4" t="s">
        <v>197</v>
      </c>
      <c r="G9" s="4" t="s">
        <v>185</v>
      </c>
      <c r="H9" s="4" t="s">
        <v>185</v>
      </c>
    </row>
    <row r="10" customFormat="false" ht="14.25" hidden="false" customHeight="false" outlineLevel="0" collapsed="false">
      <c r="A10" s="4" t="s">
        <v>198</v>
      </c>
      <c r="B10" s="4" t="s">
        <v>199</v>
      </c>
      <c r="C10" s="4" t="n">
        <v>0</v>
      </c>
      <c r="D10" s="4" t="n">
        <v>0</v>
      </c>
      <c r="E10" s="4" t="n">
        <f aca="false">AVERAGE(C10:D10)</f>
        <v>0</v>
      </c>
      <c r="F10" s="4" t="s">
        <v>200</v>
      </c>
      <c r="G10" s="4" t="s">
        <v>185</v>
      </c>
      <c r="H10" s="4" t="s">
        <v>185</v>
      </c>
    </row>
    <row r="11" customFormat="false" ht="14.25" hidden="false" customHeight="false" outlineLevel="0" collapsed="false">
      <c r="A11" s="4" t="s">
        <v>201</v>
      </c>
      <c r="B11" s="4" t="s">
        <v>199</v>
      </c>
      <c r="C11" s="4" t="n">
        <v>0</v>
      </c>
      <c r="D11" s="4" t="n">
        <v>0</v>
      </c>
      <c r="E11" s="4" t="n">
        <f aca="false">AVERAGE(C11:D11)</f>
        <v>0</v>
      </c>
      <c r="F11" s="4" t="s">
        <v>202</v>
      </c>
      <c r="G11" s="4" t="s">
        <v>185</v>
      </c>
      <c r="H11" s="4" t="s">
        <v>185</v>
      </c>
    </row>
    <row r="12" customFormat="false" ht="14.25" hidden="false" customHeight="false" outlineLevel="0" collapsed="false">
      <c r="A12" s="4" t="s">
        <v>203</v>
      </c>
      <c r="B12" s="4" t="s">
        <v>199</v>
      </c>
      <c r="C12" s="4" t="n">
        <v>0</v>
      </c>
      <c r="D12" s="4" t="n">
        <v>0</v>
      </c>
      <c r="E12" s="4" t="n">
        <f aca="false">AVERAGE(C12:D12)</f>
        <v>0</v>
      </c>
      <c r="F12" s="4" t="s">
        <v>202</v>
      </c>
      <c r="G12" s="4" t="s">
        <v>185</v>
      </c>
      <c r="H12" s="4" t="s">
        <v>185</v>
      </c>
    </row>
    <row r="13" customFormat="false" ht="14.25" hidden="false" customHeight="false" outlineLevel="0" collapsed="false">
      <c r="A13" s="4" t="s">
        <v>204</v>
      </c>
      <c r="B13" s="4" t="s">
        <v>199</v>
      </c>
      <c r="C13" s="4" t="n">
        <v>0</v>
      </c>
      <c r="D13" s="4" t="n">
        <v>0</v>
      </c>
      <c r="E13" s="4" t="n">
        <f aca="false">AVERAGE(C13:D13)</f>
        <v>0</v>
      </c>
      <c r="F13" s="4" t="s">
        <v>195</v>
      </c>
      <c r="G13" s="4" t="s">
        <v>185</v>
      </c>
      <c r="H13" s="4" t="s">
        <v>185</v>
      </c>
    </row>
    <row r="14" customFormat="false" ht="14.25" hidden="false" customHeight="false" outlineLevel="0" collapsed="false">
      <c r="A14" s="4" t="s">
        <v>205</v>
      </c>
      <c r="B14" s="4" t="s">
        <v>199</v>
      </c>
      <c r="C14" s="4" t="n">
        <v>0</v>
      </c>
      <c r="D14" s="4" t="n">
        <v>0</v>
      </c>
      <c r="E14" s="4" t="n">
        <f aca="false">AVERAGE(C14:D14)</f>
        <v>0</v>
      </c>
      <c r="F14" s="4" t="s">
        <v>202</v>
      </c>
      <c r="G14" s="4" t="s">
        <v>185</v>
      </c>
      <c r="H14" s="4" t="s">
        <v>185</v>
      </c>
    </row>
    <row r="15" customFormat="false" ht="14.25" hidden="false" customHeight="false" outlineLevel="0" collapsed="false">
      <c r="A15" s="4" t="s">
        <v>206</v>
      </c>
      <c r="B15" s="4" t="s">
        <v>199</v>
      </c>
      <c r="C15" s="4" t="n">
        <v>0</v>
      </c>
      <c r="D15" s="4" t="n">
        <v>0</v>
      </c>
      <c r="E15" s="4" t="n">
        <f aca="false">AVERAGE(C15:D15)</f>
        <v>0</v>
      </c>
      <c r="F15" s="4" t="s">
        <v>197</v>
      </c>
      <c r="G15" s="4" t="s">
        <v>185</v>
      </c>
      <c r="H15" s="4" t="s">
        <v>185</v>
      </c>
    </row>
    <row r="16" customFormat="false" ht="14.25" hidden="false" customHeight="false" outlineLevel="0" collapsed="false">
      <c r="A16" s="4" t="s">
        <v>207</v>
      </c>
      <c r="B16" s="4" t="s">
        <v>199</v>
      </c>
      <c r="C16" s="4" t="n">
        <v>0</v>
      </c>
      <c r="D16" s="4" t="n">
        <v>0</v>
      </c>
      <c r="E16" s="4" t="n">
        <f aca="false">AVERAGE(C16:D16)</f>
        <v>0</v>
      </c>
      <c r="F16" s="4" t="s">
        <v>197</v>
      </c>
      <c r="G16" s="4" t="s">
        <v>185</v>
      </c>
      <c r="H16" s="4" t="s">
        <v>185</v>
      </c>
    </row>
    <row r="17" customFormat="false" ht="14.25" hidden="false" customHeight="false" outlineLevel="0" collapsed="false">
      <c r="A17" s="4" t="s">
        <v>208</v>
      </c>
      <c r="B17" s="4" t="s">
        <v>199</v>
      </c>
      <c r="C17" s="4" t="n">
        <v>0</v>
      </c>
      <c r="D17" s="4" t="n">
        <v>0</v>
      </c>
      <c r="E17" s="4" t="n">
        <f aca="false">AVERAGE(C17:D17)</f>
        <v>0</v>
      </c>
      <c r="F17" s="4" t="s">
        <v>197</v>
      </c>
      <c r="G17" s="4" t="s">
        <v>185</v>
      </c>
      <c r="H17" s="4" t="s">
        <v>185</v>
      </c>
    </row>
    <row r="18" customFormat="false" ht="14.25" hidden="false" customHeight="false" outlineLevel="0" collapsed="false">
      <c r="A18" s="4" t="s">
        <v>209</v>
      </c>
      <c r="B18" s="4" t="s">
        <v>199</v>
      </c>
      <c r="C18" s="4" t="n">
        <v>0</v>
      </c>
      <c r="D18" s="4" t="n">
        <v>0</v>
      </c>
      <c r="E18" s="4" t="n">
        <f aca="false">AVERAGE(C18:D18)</f>
        <v>0</v>
      </c>
      <c r="F18" s="4" t="s">
        <v>197</v>
      </c>
      <c r="G18" s="4" t="s">
        <v>185</v>
      </c>
      <c r="H18" s="4" t="s">
        <v>185</v>
      </c>
    </row>
    <row r="19" customFormat="false" ht="14.25" hidden="false" customHeight="false" outlineLevel="0" collapsed="false">
      <c r="A19" s="4" t="s">
        <v>210</v>
      </c>
      <c r="B19" s="4" t="s">
        <v>199</v>
      </c>
      <c r="C19" s="4" t="n">
        <v>0</v>
      </c>
      <c r="D19" s="4" t="n">
        <v>0</v>
      </c>
      <c r="E19" s="4" t="n">
        <f aca="false">AVERAGE(C19:D19)</f>
        <v>0</v>
      </c>
      <c r="F19" s="4" t="s">
        <v>197</v>
      </c>
      <c r="G19" s="4" t="s">
        <v>185</v>
      </c>
      <c r="H19" s="4" t="s">
        <v>185</v>
      </c>
    </row>
    <row r="20" customFormat="false" ht="14.25" hidden="false" customHeight="false" outlineLevel="0" collapsed="false">
      <c r="A20" s="4" t="s">
        <v>211</v>
      </c>
      <c r="B20" s="4" t="s">
        <v>199</v>
      </c>
      <c r="C20" s="4" t="n">
        <v>0</v>
      </c>
      <c r="D20" s="4" t="n">
        <v>0</v>
      </c>
      <c r="E20" s="4" t="n">
        <f aca="false">AVERAGE(C20:D20)</f>
        <v>0</v>
      </c>
      <c r="F20" s="4" t="s">
        <v>197</v>
      </c>
      <c r="G20" s="4" t="s">
        <v>185</v>
      </c>
      <c r="H20" s="4" t="s">
        <v>185</v>
      </c>
    </row>
  </sheetData>
  <autoFilter ref="A1:G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1"/>
    <col collapsed="false" customWidth="true" hidden="false" outlineLevel="0" max="3" min="3" style="0" width="18"/>
    <col collapsed="false" customWidth="true" hidden="false" outlineLevel="0" max="12" min="4" style="0" width="10"/>
  </cols>
  <sheetData>
    <row r="1" customFormat="false" ht="14.25" hidden="false" customHeight="false" outlineLevel="0" collapsed="false">
      <c r="A1" s="3" t="s">
        <v>61</v>
      </c>
      <c r="B1" s="3" t="s">
        <v>212</v>
      </c>
      <c r="C1" s="3" t="s">
        <v>213</v>
      </c>
      <c r="D1" s="3" t="s">
        <v>214</v>
      </c>
      <c r="E1" s="3" t="s">
        <v>215</v>
      </c>
      <c r="F1" s="3" t="s">
        <v>216</v>
      </c>
      <c r="G1" s="3" t="s">
        <v>217</v>
      </c>
      <c r="H1" s="3" t="s">
        <v>218</v>
      </c>
      <c r="I1" s="3" t="s">
        <v>219</v>
      </c>
      <c r="J1" s="3" t="s">
        <v>220</v>
      </c>
      <c r="K1" s="3" t="s">
        <v>221</v>
      </c>
      <c r="L1" s="3" t="s">
        <v>222</v>
      </c>
    </row>
    <row r="2" customFormat="false" ht="14.25" hidden="false" customHeight="false" outlineLevel="0" collapsed="false">
      <c r="A2" s="4" t="s">
        <v>223</v>
      </c>
      <c r="B2" s="5" t="s">
        <v>224</v>
      </c>
      <c r="C2" s="5"/>
      <c r="D2" s="4" t="n">
        <v>0</v>
      </c>
      <c r="E2" s="4" t="n">
        <v>0</v>
      </c>
      <c r="F2" s="4" t="n">
        <v>1</v>
      </c>
      <c r="G2" s="4" t="n">
        <v>0</v>
      </c>
      <c r="H2" s="4" t="n">
        <v>1</v>
      </c>
      <c r="I2" s="4" t="n">
        <v>2</v>
      </c>
      <c r="J2" s="4" t="n">
        <v>0</v>
      </c>
      <c r="K2" s="4" t="n">
        <v>0</v>
      </c>
      <c r="L2" s="4" t="n">
        <v>4</v>
      </c>
    </row>
    <row r="3" customFormat="false" ht="14.25" hidden="false" customHeight="false" outlineLevel="0" collapsed="false">
      <c r="A3" s="4" t="s">
        <v>225</v>
      </c>
      <c r="B3" s="5"/>
      <c r="C3" s="5"/>
      <c r="D3" s="4" t="n">
        <v>0</v>
      </c>
      <c r="E3" s="4" t="n">
        <v>0</v>
      </c>
      <c r="F3" s="4" t="n">
        <v>1</v>
      </c>
      <c r="G3" s="4" t="n">
        <v>7</v>
      </c>
      <c r="H3" s="4" t="n">
        <v>18</v>
      </c>
      <c r="I3" s="4" t="n">
        <v>11</v>
      </c>
      <c r="J3" s="4" t="n">
        <v>1</v>
      </c>
      <c r="K3" s="4" t="n">
        <v>6</v>
      </c>
      <c r="L3" s="4" t="n">
        <v>44</v>
      </c>
    </row>
    <row r="4" customFormat="false" ht="14.25" hidden="false" customHeight="false" outlineLevel="0" collapsed="false">
      <c r="A4" s="4" t="s">
        <v>226</v>
      </c>
      <c r="B4" s="5"/>
      <c r="C4" s="5"/>
      <c r="D4" s="4" t="n">
        <v>3</v>
      </c>
      <c r="E4" s="4" t="n">
        <v>0</v>
      </c>
      <c r="F4" s="4" t="n">
        <v>1</v>
      </c>
      <c r="G4" s="4" t="n">
        <v>2</v>
      </c>
      <c r="H4" s="4" t="n">
        <v>10</v>
      </c>
      <c r="I4" s="4" t="n">
        <v>1</v>
      </c>
      <c r="J4" s="4" t="n">
        <v>0</v>
      </c>
      <c r="K4" s="4" t="n">
        <v>2</v>
      </c>
      <c r="L4" s="4" t="n">
        <v>19</v>
      </c>
    </row>
    <row r="5" customFormat="false" ht="14.25" hidden="false" customHeight="false" outlineLevel="0" collapsed="false">
      <c r="A5" s="4" t="s">
        <v>227</v>
      </c>
      <c r="B5" s="5"/>
      <c r="C5" s="5"/>
      <c r="D5" s="4" t="n">
        <v>1</v>
      </c>
      <c r="E5" s="4" t="n">
        <v>0</v>
      </c>
      <c r="F5" s="4" t="n">
        <v>1</v>
      </c>
      <c r="G5" s="4" t="n">
        <v>3</v>
      </c>
      <c r="H5" s="4" t="n">
        <v>4</v>
      </c>
      <c r="I5" s="4" t="n">
        <v>3</v>
      </c>
      <c r="J5" s="4" t="n">
        <v>0</v>
      </c>
      <c r="K5" s="4" t="n">
        <v>0</v>
      </c>
      <c r="L5" s="4" t="n">
        <v>12</v>
      </c>
    </row>
    <row r="6" customFormat="false" ht="14.25" hidden="false" customHeight="false" outlineLevel="0" collapsed="false">
      <c r="A6" s="4" t="s">
        <v>228</v>
      </c>
      <c r="B6" s="5"/>
      <c r="C6" s="5"/>
      <c r="D6" s="4" t="n">
        <v>3</v>
      </c>
      <c r="E6" s="4" t="n">
        <v>0</v>
      </c>
      <c r="F6" s="4" t="n">
        <v>1</v>
      </c>
      <c r="G6" s="4" t="n">
        <v>3</v>
      </c>
      <c r="H6" s="4" t="n">
        <v>5</v>
      </c>
      <c r="I6" s="4" t="n">
        <v>1</v>
      </c>
      <c r="J6" s="4" t="n">
        <v>1</v>
      </c>
      <c r="K6" s="4" t="n">
        <v>1</v>
      </c>
      <c r="L6" s="4" t="n">
        <v>15</v>
      </c>
    </row>
    <row r="7" customFormat="false" ht="14.25" hidden="false" customHeight="false" outlineLevel="0" collapsed="false">
      <c r="A7" s="4" t="s">
        <v>229</v>
      </c>
      <c r="B7" s="5"/>
      <c r="C7" s="5"/>
      <c r="D7" s="4" t="n">
        <v>0</v>
      </c>
      <c r="E7" s="4" t="n">
        <v>0</v>
      </c>
      <c r="F7" s="4" t="n">
        <v>2</v>
      </c>
      <c r="G7" s="4" t="n">
        <v>2</v>
      </c>
      <c r="H7" s="4" t="n">
        <v>7</v>
      </c>
      <c r="I7" s="4" t="n">
        <v>1</v>
      </c>
      <c r="J7" s="4" t="n">
        <v>0</v>
      </c>
      <c r="K7" s="4" t="n">
        <v>1</v>
      </c>
      <c r="L7" s="4" t="n">
        <v>13</v>
      </c>
    </row>
    <row r="8" customFormat="false" ht="14.25" hidden="false" customHeight="false" outlineLevel="0" collapsed="false">
      <c r="A8" s="4" t="s">
        <v>230</v>
      </c>
      <c r="B8" s="5"/>
      <c r="C8" s="5"/>
      <c r="D8" s="4" t="n">
        <v>0</v>
      </c>
      <c r="E8" s="4" t="n">
        <v>0</v>
      </c>
      <c r="F8" s="4" t="n">
        <v>0</v>
      </c>
      <c r="G8" s="4" t="n">
        <v>0</v>
      </c>
      <c r="H8" s="4" t="n">
        <v>1</v>
      </c>
      <c r="I8" s="4" t="n">
        <v>1</v>
      </c>
      <c r="J8" s="4" t="n">
        <v>2</v>
      </c>
      <c r="K8" s="4" t="n">
        <v>0</v>
      </c>
      <c r="L8" s="4" t="n">
        <v>4</v>
      </c>
    </row>
    <row r="9" customFormat="false" ht="14.25" hidden="false" customHeight="false" outlineLevel="0" collapsed="false">
      <c r="A9" s="4" t="s">
        <v>231</v>
      </c>
      <c r="B9" s="5"/>
      <c r="C9" s="5"/>
      <c r="D9" s="4" t="n">
        <v>7</v>
      </c>
      <c r="E9" s="4" t="n">
        <v>1</v>
      </c>
      <c r="F9" s="4" t="n">
        <v>6</v>
      </c>
      <c r="G9" s="4" t="n">
        <v>5</v>
      </c>
      <c r="H9" s="4" t="n">
        <v>26</v>
      </c>
      <c r="I9" s="4" t="n">
        <v>10</v>
      </c>
      <c r="J9" s="4" t="n">
        <v>3</v>
      </c>
      <c r="K9" s="4" t="n">
        <v>7</v>
      </c>
      <c r="L9" s="4" t="n">
        <v>65</v>
      </c>
    </row>
    <row r="10" customFormat="false" ht="14.25" hidden="false" customHeight="false" outlineLevel="0" collapsed="false">
      <c r="A10" s="4" t="s">
        <v>232</v>
      </c>
      <c r="B10" s="5"/>
      <c r="C10" s="5"/>
      <c r="D10" s="4" t="n">
        <v>3</v>
      </c>
      <c r="E10" s="4" t="n">
        <v>0</v>
      </c>
      <c r="F10" s="4" t="n">
        <v>0</v>
      </c>
      <c r="G10" s="4" t="n">
        <v>1</v>
      </c>
      <c r="H10" s="4" t="n">
        <v>7</v>
      </c>
      <c r="I10" s="4" t="n">
        <v>2</v>
      </c>
      <c r="J10" s="4" t="n">
        <v>0</v>
      </c>
      <c r="K10" s="4" t="n">
        <v>0</v>
      </c>
      <c r="L10" s="4" t="n">
        <v>13</v>
      </c>
    </row>
    <row r="11" customFormat="false" ht="14.25" hidden="false" customHeight="false" outlineLevel="0" collapsed="false">
      <c r="A11" s="4" t="s">
        <v>233</v>
      </c>
      <c r="B11" s="5"/>
      <c r="C11" s="5"/>
      <c r="D11" s="4" t="n">
        <v>2</v>
      </c>
      <c r="E11" s="4" t="n">
        <v>0</v>
      </c>
      <c r="F11" s="4" t="n">
        <v>0</v>
      </c>
      <c r="G11" s="4" t="n">
        <v>1</v>
      </c>
      <c r="H11" s="4" t="n">
        <v>6</v>
      </c>
      <c r="I11" s="4" t="n">
        <v>3</v>
      </c>
      <c r="J11" s="4" t="n">
        <v>0</v>
      </c>
      <c r="K11" s="4" t="n">
        <v>2</v>
      </c>
      <c r="L11" s="4" t="n">
        <v>14</v>
      </c>
    </row>
    <row r="12" customFormat="false" ht="14.25" hidden="false" customHeight="false" outlineLevel="0" collapsed="false">
      <c r="A12" s="4" t="s">
        <v>234</v>
      </c>
      <c r="B12" s="5"/>
      <c r="C12" s="5"/>
      <c r="D12" s="4" t="n">
        <v>5</v>
      </c>
      <c r="E12" s="4" t="n">
        <v>1</v>
      </c>
      <c r="F12" s="4" t="n">
        <v>0</v>
      </c>
      <c r="G12" s="4" t="n">
        <v>1</v>
      </c>
      <c r="H12" s="4" t="n">
        <v>4</v>
      </c>
      <c r="I12" s="4" t="n">
        <v>2</v>
      </c>
      <c r="J12" s="4" t="n">
        <v>0</v>
      </c>
      <c r="K12" s="4" t="n">
        <v>1</v>
      </c>
      <c r="L12" s="4" t="n">
        <v>14</v>
      </c>
    </row>
    <row r="13" customFormat="false" ht="14.25" hidden="false" customHeight="false" outlineLevel="0" collapsed="false">
      <c r="A13" s="4" t="s">
        <v>235</v>
      </c>
      <c r="B13" s="5"/>
      <c r="C13" s="5"/>
      <c r="D13" s="4" t="n">
        <v>2</v>
      </c>
      <c r="E13" s="4" t="n">
        <v>0</v>
      </c>
      <c r="F13" s="4" t="n">
        <v>2</v>
      </c>
      <c r="G13" s="4" t="n">
        <v>1</v>
      </c>
      <c r="H13" s="4" t="n">
        <v>7</v>
      </c>
      <c r="I13" s="4" t="n">
        <v>2</v>
      </c>
      <c r="J13" s="4" t="n">
        <v>0</v>
      </c>
      <c r="K13" s="4" t="n">
        <v>1</v>
      </c>
      <c r="L13" s="4" t="n">
        <v>15</v>
      </c>
    </row>
    <row r="14" customFormat="false" ht="14.25" hidden="false" customHeight="false" outlineLevel="0" collapsed="false">
      <c r="A14" s="4" t="s">
        <v>236</v>
      </c>
      <c r="B14" s="5"/>
      <c r="C14" s="5"/>
      <c r="D14" s="4" t="n">
        <v>0</v>
      </c>
      <c r="E14" s="4" t="n">
        <v>0</v>
      </c>
      <c r="F14" s="4" t="n">
        <v>1</v>
      </c>
      <c r="G14" s="4" t="n">
        <v>0</v>
      </c>
      <c r="H14" s="4" t="n">
        <v>1</v>
      </c>
      <c r="I14" s="4" t="n">
        <v>2</v>
      </c>
      <c r="J14" s="4" t="n">
        <v>0</v>
      </c>
      <c r="K14" s="4" t="n">
        <v>0</v>
      </c>
      <c r="L14" s="4" t="n">
        <v>4</v>
      </c>
    </row>
    <row r="15" customFormat="false" ht="14.25" hidden="false" customHeight="false" outlineLevel="0" collapsed="false">
      <c r="A15" s="4" t="s">
        <v>237</v>
      </c>
      <c r="B15" s="5"/>
      <c r="C15" s="5"/>
      <c r="D15" s="4" t="n">
        <v>1</v>
      </c>
      <c r="E15" s="4" t="n">
        <v>0</v>
      </c>
      <c r="F15" s="4" t="n">
        <v>1</v>
      </c>
      <c r="G15" s="4" t="n">
        <v>1</v>
      </c>
      <c r="H15" s="4" t="n">
        <v>7</v>
      </c>
      <c r="I15" s="4" t="n">
        <v>2</v>
      </c>
      <c r="J15" s="4" t="n">
        <v>0</v>
      </c>
      <c r="K15" s="4" t="n">
        <v>1</v>
      </c>
      <c r="L15" s="4" t="n">
        <v>13</v>
      </c>
    </row>
    <row r="16" customFormat="false" ht="14.25" hidden="false" customHeight="false" outlineLevel="0" collapsed="false">
      <c r="A16" s="4" t="s">
        <v>238</v>
      </c>
      <c r="B16" s="5"/>
      <c r="C16" s="5"/>
      <c r="D16" s="4" t="n">
        <v>0</v>
      </c>
      <c r="E16" s="4" t="n">
        <v>0</v>
      </c>
      <c r="F16" s="4" t="n">
        <v>1</v>
      </c>
      <c r="G16" s="4" t="n">
        <v>0</v>
      </c>
      <c r="H16" s="4" t="n">
        <v>1</v>
      </c>
      <c r="I16" s="4" t="n">
        <v>2</v>
      </c>
      <c r="J16" s="4" t="n">
        <v>0</v>
      </c>
      <c r="K16" s="4" t="n">
        <v>0</v>
      </c>
      <c r="L16" s="4" t="n">
        <v>4</v>
      </c>
    </row>
    <row r="17" customFormat="false" ht="14.25" hidden="false" customHeight="false" outlineLevel="0" collapsed="false">
      <c r="A17" s="4" t="s">
        <v>239</v>
      </c>
      <c r="B17" s="5"/>
      <c r="C17" s="5"/>
      <c r="D17" s="4" t="n">
        <v>1</v>
      </c>
      <c r="E17" s="4" t="n">
        <v>0</v>
      </c>
      <c r="F17" s="4" t="n">
        <v>1</v>
      </c>
      <c r="G17" s="4" t="n">
        <v>2</v>
      </c>
      <c r="H17" s="4" t="n">
        <v>5</v>
      </c>
      <c r="I17" s="4" t="n">
        <v>2</v>
      </c>
      <c r="J17" s="4" t="n">
        <v>1</v>
      </c>
      <c r="K17" s="4" t="n">
        <v>1</v>
      </c>
      <c r="L17" s="4" t="n">
        <v>13</v>
      </c>
    </row>
    <row r="18" customFormat="false" ht="14.25" hidden="false" customHeight="false" outlineLevel="0" collapsed="false">
      <c r="A18" s="4" t="s">
        <v>240</v>
      </c>
      <c r="B18" s="5"/>
      <c r="C18" s="5"/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1</v>
      </c>
      <c r="J18" s="4" t="n">
        <v>0</v>
      </c>
      <c r="K18" s="4" t="n">
        <v>0</v>
      </c>
      <c r="L18" s="4" t="n">
        <v>1</v>
      </c>
    </row>
    <row r="19" customFormat="false" ht="14.25" hidden="false" customHeight="false" outlineLevel="0" collapsed="false">
      <c r="B19" s="6"/>
      <c r="C19" s="6"/>
    </row>
  </sheetData>
  <autoFilter ref="A1:L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6"/>
  </cols>
  <sheetData>
    <row r="1" customFormat="false" ht="14.25" hidden="false" customHeight="false" outlineLevel="0" collapsed="false">
      <c r="A1" s="3" t="s">
        <v>176</v>
      </c>
      <c r="B1" s="3" t="s">
        <v>241</v>
      </c>
      <c r="C1" s="3" t="s">
        <v>141</v>
      </c>
    </row>
    <row r="2" customFormat="false" ht="14.25" hidden="false" customHeight="false" outlineLevel="0" collapsed="false">
      <c r="A2" s="4" t="s">
        <v>242</v>
      </c>
      <c r="B2" s="4" t="n">
        <v>80</v>
      </c>
      <c r="C2" s="4" t="n">
        <v>0.27</v>
      </c>
    </row>
    <row r="3" customFormat="false" ht="14.25" hidden="false" customHeight="false" outlineLevel="0" collapsed="false">
      <c r="A3" s="4" t="s">
        <v>54</v>
      </c>
      <c r="B3" s="4" t="n">
        <v>111</v>
      </c>
      <c r="C3" s="4" t="n">
        <v>0.38</v>
      </c>
    </row>
    <row r="4" customFormat="false" ht="14.25" hidden="false" customHeight="false" outlineLevel="0" collapsed="false">
      <c r="A4" s="4" t="s">
        <v>199</v>
      </c>
      <c r="B4" s="4" t="n">
        <v>76</v>
      </c>
      <c r="C4" s="4" t="n">
        <v>0.26</v>
      </c>
    </row>
    <row r="5" customFormat="false" ht="14.25" hidden="false" customHeight="false" outlineLevel="0" collapsed="false">
      <c r="A5" s="4" t="s">
        <v>243</v>
      </c>
      <c r="B5" s="4" t="n">
        <v>27</v>
      </c>
      <c r="C5" s="4" t="n">
        <v>0.09</v>
      </c>
    </row>
  </sheetData>
  <autoFilter ref="A1: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23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4.25" hidden="false" customHeight="false" outlineLevel="0" collapsed="false">
      <c r="A1" s="3" t="s">
        <v>61</v>
      </c>
      <c r="B1" s="3" t="s">
        <v>244</v>
      </c>
      <c r="C1" s="3" t="s">
        <v>245</v>
      </c>
      <c r="D1" s="3" t="s">
        <v>246</v>
      </c>
      <c r="E1" s="3" t="s">
        <v>180</v>
      </c>
      <c r="F1" s="3" t="s">
        <v>247</v>
      </c>
      <c r="G1" s="3" t="s">
        <v>182</v>
      </c>
    </row>
    <row r="2" customFormat="false" ht="14.25" hidden="false" customHeight="false" outlineLevel="0" collapsed="false">
      <c r="A2" s="4" t="s">
        <v>248</v>
      </c>
      <c r="B2" s="4" t="n">
        <v>1</v>
      </c>
      <c r="C2" s="4" t="n">
        <v>1</v>
      </c>
      <c r="D2" s="4" t="s">
        <v>249</v>
      </c>
      <c r="E2" s="4" t="s">
        <v>250</v>
      </c>
      <c r="F2" s="4" t="s">
        <v>251</v>
      </c>
      <c r="G2" s="4" t="s">
        <v>185</v>
      </c>
    </row>
    <row r="3" customFormat="false" ht="14.25" hidden="false" customHeight="false" outlineLevel="0" collapsed="false">
      <c r="A3" s="4" t="s">
        <v>252</v>
      </c>
      <c r="B3" s="4" t="n">
        <v>1</v>
      </c>
      <c r="C3" s="4" t="n">
        <v>1</v>
      </c>
      <c r="D3" s="4" t="s">
        <v>249</v>
      </c>
      <c r="E3" s="4" t="s">
        <v>250</v>
      </c>
      <c r="F3" s="4" t="s">
        <v>249</v>
      </c>
      <c r="G3" s="4" t="s">
        <v>253</v>
      </c>
    </row>
    <row r="4" customFormat="false" ht="14.25" hidden="false" customHeight="false" outlineLevel="0" collapsed="false">
      <c r="A4" s="4" t="s">
        <v>254</v>
      </c>
      <c r="B4" s="4" t="n">
        <v>1</v>
      </c>
      <c r="C4" s="4" t="n">
        <v>1</v>
      </c>
      <c r="D4" s="4" t="s">
        <v>249</v>
      </c>
      <c r="E4" s="4" t="s">
        <v>250</v>
      </c>
      <c r="F4" s="4" t="s">
        <v>251</v>
      </c>
      <c r="G4" s="4" t="s">
        <v>185</v>
      </c>
    </row>
    <row r="5" customFormat="false" ht="14.25" hidden="false" customHeight="false" outlineLevel="0" collapsed="false">
      <c r="A5" s="4" t="s">
        <v>255</v>
      </c>
      <c r="B5" s="4" t="n">
        <v>1</v>
      </c>
      <c r="C5" s="4" t="n">
        <v>1</v>
      </c>
      <c r="D5" s="4" t="s">
        <v>249</v>
      </c>
      <c r="E5" s="4" t="s">
        <v>250</v>
      </c>
      <c r="F5" s="4" t="s">
        <v>251</v>
      </c>
      <c r="G5" s="4" t="s">
        <v>185</v>
      </c>
    </row>
    <row r="6" customFormat="false" ht="14.25" hidden="false" customHeight="false" outlineLevel="0" collapsed="false">
      <c r="A6" s="4" t="s">
        <v>256</v>
      </c>
      <c r="B6" s="4" t="n">
        <v>1</v>
      </c>
      <c r="C6" s="4" t="n">
        <v>1</v>
      </c>
      <c r="D6" s="4" t="s">
        <v>249</v>
      </c>
      <c r="E6" s="4" t="s">
        <v>250</v>
      </c>
      <c r="F6" s="4" t="s">
        <v>251</v>
      </c>
      <c r="G6" s="4" t="s">
        <v>185</v>
      </c>
    </row>
    <row r="7" customFormat="false" ht="14.25" hidden="false" customHeight="false" outlineLevel="0" collapsed="false">
      <c r="A7" s="4" t="s">
        <v>257</v>
      </c>
      <c r="B7" s="4" t="n">
        <v>1</v>
      </c>
      <c r="C7" s="4" t="n">
        <v>1</v>
      </c>
      <c r="D7" s="4" t="s">
        <v>249</v>
      </c>
      <c r="E7" s="4" t="s">
        <v>250</v>
      </c>
      <c r="F7" s="4" t="s">
        <v>251</v>
      </c>
      <c r="G7" s="4" t="s">
        <v>185</v>
      </c>
    </row>
    <row r="8" customFormat="false" ht="14.25" hidden="false" customHeight="false" outlineLevel="0" collapsed="false">
      <c r="A8" s="4" t="s">
        <v>258</v>
      </c>
      <c r="B8" s="4" t="n">
        <v>1</v>
      </c>
      <c r="C8" s="4" t="n">
        <v>1</v>
      </c>
      <c r="D8" s="4" t="s">
        <v>249</v>
      </c>
      <c r="E8" s="4" t="s">
        <v>250</v>
      </c>
      <c r="F8" s="4" t="s">
        <v>251</v>
      </c>
      <c r="G8" s="4" t="s">
        <v>185</v>
      </c>
    </row>
    <row r="9" customFormat="false" ht="14.25" hidden="false" customHeight="false" outlineLevel="0" collapsed="false">
      <c r="A9" s="4" t="s">
        <v>259</v>
      </c>
      <c r="B9" s="4" t="n">
        <v>1</v>
      </c>
      <c r="C9" s="4" t="n">
        <v>1</v>
      </c>
      <c r="D9" s="4" t="s">
        <v>249</v>
      </c>
      <c r="E9" s="4" t="s">
        <v>250</v>
      </c>
      <c r="F9" s="4" t="s">
        <v>249</v>
      </c>
      <c r="G9" s="4" t="s">
        <v>260</v>
      </c>
    </row>
    <row r="10" customFormat="false" ht="14.25" hidden="false" customHeight="false" outlineLevel="0" collapsed="false">
      <c r="A10" s="4" t="s">
        <v>261</v>
      </c>
      <c r="B10" s="4" t="n">
        <v>1</v>
      </c>
      <c r="C10" s="4" t="n">
        <v>1</v>
      </c>
      <c r="D10" s="4" t="s">
        <v>249</v>
      </c>
      <c r="E10" s="4" t="s">
        <v>250</v>
      </c>
      <c r="F10" s="4" t="s">
        <v>249</v>
      </c>
      <c r="G10" s="4" t="s">
        <v>262</v>
      </c>
    </row>
    <row r="11" customFormat="false" ht="14.25" hidden="false" customHeight="false" outlineLevel="0" collapsed="false">
      <c r="A11" s="4" t="s">
        <v>263</v>
      </c>
      <c r="B11" s="4" t="n">
        <v>1</v>
      </c>
      <c r="C11" s="4" t="n">
        <v>1</v>
      </c>
      <c r="D11" s="4" t="s">
        <v>249</v>
      </c>
      <c r="E11" s="4" t="s">
        <v>250</v>
      </c>
      <c r="F11" s="4" t="s">
        <v>249</v>
      </c>
      <c r="G11" s="4" t="s">
        <v>262</v>
      </c>
    </row>
    <row r="12" customFormat="false" ht="14.25" hidden="false" customHeight="false" outlineLevel="0" collapsed="false">
      <c r="A12" s="4" t="s">
        <v>264</v>
      </c>
      <c r="B12" s="4" t="n">
        <v>1</v>
      </c>
      <c r="C12" s="4" t="n">
        <v>1</v>
      </c>
      <c r="D12" s="4" t="s">
        <v>249</v>
      </c>
      <c r="E12" s="4" t="s">
        <v>265</v>
      </c>
      <c r="F12" s="4" t="s">
        <v>251</v>
      </c>
      <c r="G12" s="4" t="s">
        <v>185</v>
      </c>
    </row>
    <row r="13" customFormat="false" ht="14.25" hidden="false" customHeight="false" outlineLevel="0" collapsed="false">
      <c r="A13" s="4" t="s">
        <v>266</v>
      </c>
      <c r="B13" s="4" t="n">
        <v>1</v>
      </c>
      <c r="C13" s="4" t="n">
        <v>0</v>
      </c>
      <c r="D13" s="4" t="s">
        <v>185</v>
      </c>
      <c r="E13" s="4" t="s">
        <v>185</v>
      </c>
      <c r="F13" s="4" t="s">
        <v>185</v>
      </c>
      <c r="G13" s="4" t="s">
        <v>185</v>
      </c>
    </row>
    <row r="14" customFormat="false" ht="14.25" hidden="false" customHeight="false" outlineLevel="0" collapsed="false">
      <c r="A14" s="4" t="s">
        <v>267</v>
      </c>
      <c r="B14" s="4" t="n">
        <v>1</v>
      </c>
      <c r="C14" s="4" t="n">
        <v>0</v>
      </c>
      <c r="D14" s="4" t="s">
        <v>185</v>
      </c>
      <c r="E14" s="4" t="s">
        <v>268</v>
      </c>
      <c r="F14" s="4" t="s">
        <v>185</v>
      </c>
      <c r="G14" s="4" t="s">
        <v>185</v>
      </c>
    </row>
    <row r="15" customFormat="false" ht="14.25" hidden="false" customHeight="false" outlineLevel="0" collapsed="false">
      <c r="A15" s="4" t="s">
        <v>269</v>
      </c>
      <c r="B15" s="4" t="n">
        <v>1</v>
      </c>
      <c r="C15" s="4" t="n">
        <v>0.2</v>
      </c>
      <c r="D15" s="4" t="s">
        <v>185</v>
      </c>
      <c r="E15" s="4" t="s">
        <v>268</v>
      </c>
      <c r="F15" s="4"/>
      <c r="G15" s="4"/>
    </row>
    <row r="16" customFormat="false" ht="14.25" hidden="false" customHeight="false" outlineLevel="0" collapsed="false">
      <c r="A16" s="4" t="s">
        <v>270</v>
      </c>
      <c r="B16" s="4" t="n">
        <v>0.8</v>
      </c>
      <c r="C16" s="4" t="n">
        <v>0</v>
      </c>
      <c r="D16" s="4" t="s">
        <v>185</v>
      </c>
      <c r="E16" s="4" t="s">
        <v>271</v>
      </c>
      <c r="F16" s="4" t="s">
        <v>185</v>
      </c>
      <c r="G16" s="4" t="s">
        <v>185</v>
      </c>
    </row>
    <row r="17" customFormat="false" ht="14.25" hidden="false" customHeight="false" outlineLevel="0" collapsed="false">
      <c r="A17" s="4" t="s">
        <v>272</v>
      </c>
      <c r="B17" s="4" t="n">
        <v>0.8</v>
      </c>
      <c r="C17" s="4" t="n">
        <v>0</v>
      </c>
      <c r="D17" s="4" t="s">
        <v>185</v>
      </c>
      <c r="E17" s="4" t="s">
        <v>271</v>
      </c>
      <c r="F17" s="4" t="s">
        <v>185</v>
      </c>
      <c r="G17" s="4" t="s">
        <v>185</v>
      </c>
    </row>
    <row r="18" customFormat="false" ht="14.25" hidden="false" customHeight="false" outlineLevel="0" collapsed="false">
      <c r="A18" s="4" t="s">
        <v>273</v>
      </c>
      <c r="B18" s="4" t="n">
        <v>0.8</v>
      </c>
      <c r="C18" s="4" t="n">
        <v>0</v>
      </c>
      <c r="D18" s="4" t="s">
        <v>185</v>
      </c>
      <c r="E18" s="4" t="s">
        <v>271</v>
      </c>
      <c r="F18" s="4" t="s">
        <v>185</v>
      </c>
      <c r="G18" s="4" t="s">
        <v>185</v>
      </c>
    </row>
    <row r="19" customFormat="false" ht="14.25" hidden="false" customHeight="false" outlineLevel="0" collapsed="false">
      <c r="A19" s="4" t="s">
        <v>274</v>
      </c>
      <c r="B19" s="4" t="n">
        <v>0</v>
      </c>
      <c r="C19" s="4" t="n">
        <v>0</v>
      </c>
      <c r="D19" s="4" t="s">
        <v>185</v>
      </c>
      <c r="E19" s="4" t="s">
        <v>185</v>
      </c>
      <c r="F19" s="4" t="s">
        <v>185</v>
      </c>
      <c r="G19" s="4" t="s">
        <v>185</v>
      </c>
    </row>
  </sheetData>
  <autoFilter ref="A1:G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false" showRowColHeaders="true" showZeros="true" rightToLeft="false" tabSelected="false" showOutlineSymbols="true" defaultGridColor="true" view="normal" topLeftCell="G1" colorId="64" zoomScale="100" zoomScaleNormal="100" zoomScalePageLayoutView="100" workbookViewId="0">
      <pane xSplit="0" ySplit="1" topLeftCell="A2" activePane="bottomLeft" state="frozen"/>
      <selection pane="topLeft" activeCell="G1" activeCellId="0" sqref="G1"/>
      <selection pane="bottomLeft" activeCell="A1" activeCellId="0" sqref="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4.25" hidden="false" customHeight="false" outlineLevel="0" collapsed="false">
      <c r="A1" s="3" t="s">
        <v>275</v>
      </c>
      <c r="B1" s="3" t="s">
        <v>276</v>
      </c>
      <c r="C1" s="3" t="s">
        <v>277</v>
      </c>
      <c r="D1" s="3" t="s">
        <v>24</v>
      </c>
    </row>
  </sheetData>
  <autoFilter ref="A1:D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2026-09-18T07:10:54Z</dcterms:created>
  <dc:creator>openpyxl</dc:creator>
  <dc:description/>
  <dc:language>en-US</dc:language>
  <cp:lastModifiedBy>Joselyn Rocio Herrera Calla</cp:lastModifiedBy>
  <dcterms:modified xsi:type="dcterms:W3CDTF">2026-09-18T15:18:56Z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