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Override PartName="/xl/commentsmeta2"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rojascer\Downloads\"/>
    </mc:Choice>
  </mc:AlternateContent>
  <xr:revisionPtr revIDLastSave="0" documentId="13_ncr:1_{FA5AF725-9E5F-4176-93BC-A6040CCD61C5}" xr6:coauthVersionLast="47" xr6:coauthVersionMax="47" xr10:uidLastSave="{00000000-0000-0000-0000-000000000000}"/>
  <bookViews>
    <workbookView xWindow="600" yWindow="888" windowWidth="21600" windowHeight="11232" firstSheet="6" activeTab="10" xr2:uid="{00000000-000D-0000-FFFF-FFFF00000000}"/>
  </bookViews>
  <sheets>
    <sheet name="GUIA" sheetId="1" r:id="rId1"/>
    <sheet name="CONFIG_HTML" sheetId="2" r:id="rId2"/>
    <sheet name="ENCABEZADOS" sheetId="3" r:id="rId3"/>
    <sheet name="CONFIG_DASHBOARD" sheetId="4" r:id="rId4"/>
    <sheet name="KPIs_HTML" sheetId="5" r:id="rId5"/>
    <sheet name="LIMPIEZA_COBERTURA" sheetId="6" r:id="rId6"/>
    <sheet name="LIMPIEZA_PRESUPUESTO" sheetId="7" r:id="rId7"/>
    <sheet name="AULA911_CAMPUS" sheetId="8" r:id="rId8"/>
    <sheet name="AULA911_TOP" sheetId="9" r:id="rId9"/>
    <sheet name="RONDAS" sheetId="10" r:id="rId10"/>
    <sheet name="PROYECTOS" sheetId="11" r:id="rId11"/>
    <sheet name="PROYECTO_DETALLE" sheetId="12" r:id="rId12"/>
    <sheet name="IMPLEMENTACIONES" sheetId="13" r:id="rId13"/>
    <sheet name="LISTO" sheetId="14" r:id="rId14"/>
    <sheet name="BD_INICIATIVAS" sheetId="15" r:id="rId15"/>
    <sheet name="TD" sheetId="16" r:id="rId16"/>
    <sheet name="LISTAS" sheetId="17" r:id="rId17"/>
    <sheet name="MEJORAS_PROGRAMACION" sheetId="18" r:id="rId18"/>
  </sheets>
  <definedNames>
    <definedName name="_xlnm._FilterDatabase" localSheetId="15" hidden="1">TD!$A$4:$M$22</definedName>
    <definedName name="Z_05E16715_9406_4ADA_BADF_D1C96F4B56F1_.wvu.FilterData" localSheetId="9" hidden="1">RONDAS!$A$1:$G$23</definedName>
    <definedName name="Z_07A57095_44EB_4FB3_B79A_316DA63E12D7_.wvu.FilterData" localSheetId="17" hidden="1">MEJORAS_PROGRAMACION!$A$1:$O$18</definedName>
    <definedName name="Z_0F46A095_08D4_46DE_B13B_C8DFB14380D6_.wvu.FilterData" localSheetId="13" hidden="1">LISTO!$A$1:$G$19</definedName>
    <definedName name="Z_2D6D3BAF_50D5_462D_A894_9456022FACF1_.wvu.FilterData" localSheetId="12" hidden="1">IMPLEMENTACIONES!$A$1:$C$55</definedName>
    <definedName name="Z_6BE96C5C_7502_41E1_8E99_B3DBB7E7BE2B_.wvu.FilterData" localSheetId="8" hidden="1">AULA911_TOP!$A$1:$B$6</definedName>
    <definedName name="Z_822489B9_B5AF_4B5A_A36A_34C79EE03002_.wvu.FilterData" localSheetId="11" hidden="1">PROYECTO_DETALLE!$A$1:$G$6</definedName>
    <definedName name="Z_88D3B7FF_1BF3_48D0_80B5_F8CA8DFD008D_.wvu.FilterData" localSheetId="2" hidden="1">ENCABEZADOS!$A$1:$F$54</definedName>
    <definedName name="Z_94F430F2_B245_4D98_A729_FD8559109474_.wvu.FilterData" localSheetId="1" hidden="1">CONFIG_HTML!$A$1:$E$10</definedName>
    <definedName name="Z_9FF1AA4C_5BBD_4C34_A5BB_FAEFE4E686C3_.wvu.FilterData" localSheetId="4" hidden="1">KPIs_HTML!$A$1:$E$27</definedName>
    <definedName name="Z_BDC7FA79_B80D_4FFF_9C40_BAF9A58A5140_.wvu.FilterData" localSheetId="7" hidden="1">AULA911_CAMPUS!$A$1:$F$23</definedName>
    <definedName name="Z_C6518428_2C27_43C5_89F7_674C4541BF85_.wvu.FilterData" localSheetId="10" hidden="1">PROYECTOS!$A$1:$G$20</definedName>
    <definedName name="Z_CAE7A42C_5CF6_48E7_AFC2_D1CD6A9903D4_.wvu.FilterData" localSheetId="3" hidden="1">CONFIG_DASHBOARD!$A$1:$C$8</definedName>
    <definedName name="Z_D69A9EAA_5EC2_4B0A_9936_CF55830A89E8_.wvu.FilterData" localSheetId="6" hidden="1">LIMPIEZA_PRESUPUESTO!$A$1:$C$11</definedName>
    <definedName name="Z_DB04CE68_BB5A_4CAC_A2A5_2424DEC1B9A6_.wvu.FilterData" localSheetId="5" hidden="1">LIMPIEZA_COBERTURA!$A$1:$M$29</definedName>
  </definedNames>
  <calcPr calcId="191029"/>
  <customWorkbookViews>
    <customWorkbookView name="tblCobertura filter view" guid="{DB04CE68-BB5A-4CAC-A2A5-2424DEC1B9A6}" maximized="1" windowWidth="0" windowHeight="0" activeSheetId="0"/>
    <customWorkbookView name="tblMejorasProgramacion filter view" guid="{07A57095-44EB-4FB3-B79A-316DA63E12D7}" maximized="1" windowWidth="0" windowHeight="0" activeSheetId="0"/>
    <customWorkbookView name="tblPresupuesto filter view" guid="{D69A9EAA-5EC2-4B0A-9936-CF55830A89E8}" maximized="1" windowWidth="0" windowHeight="0" activeSheetId="0"/>
    <customWorkbookView name="tblKpis filter view" guid="{9FF1AA4C-5BBD-4C34-A5BB-FAEFE4E686C3}" maximized="1" windowWidth="0" windowHeight="0" activeSheetId="0"/>
    <customWorkbookView name="tblListo filter view" guid="{0F46A095-08D4-46DE-B13B-C8DFB14380D6}" maximized="1" windowWidth="0" windowHeight="0" activeSheetId="0"/>
    <customWorkbookView name="tblEncabezados filter view" guid="{88D3B7FF-1BF3-48D0-80B5-F8CA8DFD008D}" maximized="1" windowWidth="0" windowHeight="0" activeSheetId="0"/>
    <customWorkbookView name="tblConfigHTML filter view" guid="{94F430F2-B245-4D98-A729-FD8559109474}" maximized="1" windowWidth="0" windowHeight="0" activeSheetId="0"/>
    <customWorkbookView name="tblProyectos filter view" guid="{C6518428-2C27-43C5-89F7-674C4541BF85}" maximized="1" windowWidth="0" windowHeight="0" activeSheetId="0"/>
    <customWorkbookView name="tblImplementaciones filter view" guid="{2D6D3BAF-50D5-462D-A894-9456022FACF1}" maximized="1" windowWidth="0" windowHeight="0" activeSheetId="0"/>
    <customWorkbookView name="tblAula911 filter view" guid="{BDC7FA79-B80D-4FFF-9C40-BAF9A58A5140}" maximized="1" windowWidth="0" windowHeight="0" activeSheetId="0"/>
    <customWorkbookView name="tblProyectoDetalle filter view" guid="{822489B9-B5AF-4B5A-A36A-34C79EE03002}" maximized="1" windowWidth="0" windowHeight="0" activeSheetId="0"/>
    <customWorkbookView name="tblConfigDashboard filter view" guid="{CAE7A42C-5CF6-48E7-AFC2-D1CD6A9903D4}" maximized="1" windowWidth="0" windowHeight="0" activeSheetId="0"/>
    <customWorkbookView name="tblAulaTop filter view" guid="{6BE96C5C-7502-41E1-8E99-B3DBB7E7BE2B}" maximized="1" windowWidth="0" windowHeight="0" activeSheetId="0"/>
    <customWorkbookView name="tblRondas filter view" guid="{05E16715-9406-4ADA-BADF-D1C96F4B56F1}"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N4m1mLtzIO70j0XtjM3pqEgtm22ITLvqRS4S7Gux3R8="/>
    </ext>
  </extLst>
</workbook>
</file>

<file path=xl/calcChain.xml><?xml version="1.0" encoding="utf-8"?>
<calcChain xmlns="http://schemas.openxmlformats.org/spreadsheetml/2006/main">
  <c r="L21" i="16" l="1"/>
  <c r="K21" i="16"/>
  <c r="J21" i="16"/>
  <c r="I21" i="16"/>
  <c r="H21" i="16"/>
  <c r="G21" i="16"/>
  <c r="F21" i="16"/>
  <c r="E21" i="16"/>
  <c r="D21" i="16"/>
  <c r="C21" i="16"/>
  <c r="B21" i="16"/>
  <c r="M21" i="16" s="1"/>
  <c r="L20" i="16"/>
  <c r="K20" i="16"/>
  <c r="J20" i="16"/>
  <c r="I20" i="16"/>
  <c r="H20" i="16"/>
  <c r="G20" i="16"/>
  <c r="F20" i="16"/>
  <c r="E20" i="16"/>
  <c r="D20" i="16"/>
  <c r="C20" i="16"/>
  <c r="B20" i="16"/>
  <c r="M20" i="16" s="1"/>
  <c r="L19" i="16"/>
  <c r="K19" i="16"/>
  <c r="J19" i="16"/>
  <c r="I19" i="16"/>
  <c r="H19" i="16"/>
  <c r="G19" i="16"/>
  <c r="F19" i="16"/>
  <c r="E19" i="16"/>
  <c r="D19" i="16"/>
  <c r="C19" i="16"/>
  <c r="B19" i="16"/>
  <c r="M19" i="16" s="1"/>
  <c r="L18" i="16"/>
  <c r="K18" i="16"/>
  <c r="J18" i="16"/>
  <c r="I18" i="16"/>
  <c r="H18" i="16"/>
  <c r="M18" i="16" s="1"/>
  <c r="G18" i="16"/>
  <c r="F18" i="16"/>
  <c r="E18" i="16"/>
  <c r="D18" i="16"/>
  <c r="C18" i="16"/>
  <c r="B18" i="16"/>
  <c r="L17" i="16"/>
  <c r="K17" i="16"/>
  <c r="J17" i="16"/>
  <c r="I17" i="16"/>
  <c r="H17" i="16"/>
  <c r="G17" i="16"/>
  <c r="F17" i="16"/>
  <c r="E17" i="16"/>
  <c r="D17" i="16"/>
  <c r="C17" i="16"/>
  <c r="B17" i="16"/>
  <c r="M17" i="16" s="1"/>
  <c r="L16" i="16"/>
  <c r="K16" i="16"/>
  <c r="J16" i="16"/>
  <c r="I16" i="16"/>
  <c r="H16" i="16"/>
  <c r="G16" i="16"/>
  <c r="F16" i="16"/>
  <c r="E16" i="16"/>
  <c r="D16" i="16"/>
  <c r="C16" i="16"/>
  <c r="B16" i="16"/>
  <c r="M16" i="16" s="1"/>
  <c r="L15" i="16"/>
  <c r="K15" i="16"/>
  <c r="J15" i="16"/>
  <c r="I15" i="16"/>
  <c r="H15" i="16"/>
  <c r="M15" i="16" s="1"/>
  <c r="G15" i="16"/>
  <c r="F15" i="16"/>
  <c r="E15" i="16"/>
  <c r="D15" i="16"/>
  <c r="C15" i="16"/>
  <c r="B15" i="16"/>
  <c r="L14" i="16"/>
  <c r="K14" i="16"/>
  <c r="J14" i="16"/>
  <c r="I14" i="16"/>
  <c r="H14" i="16"/>
  <c r="G14" i="16"/>
  <c r="F14" i="16"/>
  <c r="E14" i="16"/>
  <c r="D14" i="16"/>
  <c r="C14" i="16"/>
  <c r="B14" i="16"/>
  <c r="M14" i="16" s="1"/>
  <c r="L13" i="16"/>
  <c r="K13" i="16"/>
  <c r="J13" i="16"/>
  <c r="I13" i="16"/>
  <c r="H13" i="16"/>
  <c r="G13" i="16"/>
  <c r="F13" i="16"/>
  <c r="E13" i="16"/>
  <c r="D13" i="16"/>
  <c r="C13" i="16"/>
  <c r="B13" i="16"/>
  <c r="M13" i="16" s="1"/>
  <c r="L12" i="16"/>
  <c r="K12" i="16"/>
  <c r="J12" i="16"/>
  <c r="I12" i="16"/>
  <c r="H12" i="16"/>
  <c r="M12" i="16" s="1"/>
  <c r="G12" i="16"/>
  <c r="F12" i="16"/>
  <c r="E12" i="16"/>
  <c r="D12" i="16"/>
  <c r="C12" i="16"/>
  <c r="B12" i="16"/>
  <c r="L11" i="16"/>
  <c r="K11" i="16"/>
  <c r="J11" i="16"/>
  <c r="I11" i="16"/>
  <c r="H11" i="16"/>
  <c r="G11" i="16"/>
  <c r="F11" i="16"/>
  <c r="E11" i="16"/>
  <c r="D11" i="16"/>
  <c r="C11" i="16"/>
  <c r="B11" i="16"/>
  <c r="M11" i="16" s="1"/>
  <c r="L10" i="16"/>
  <c r="K10" i="16"/>
  <c r="J10" i="16"/>
  <c r="I10" i="16"/>
  <c r="H10" i="16"/>
  <c r="G10" i="16"/>
  <c r="F10" i="16"/>
  <c r="E10" i="16"/>
  <c r="D10" i="16"/>
  <c r="C10" i="16"/>
  <c r="B10" i="16"/>
  <c r="M10" i="16" s="1"/>
  <c r="L9" i="16"/>
  <c r="K9" i="16"/>
  <c r="J9" i="16"/>
  <c r="I9" i="16"/>
  <c r="H9" i="16"/>
  <c r="G9" i="16"/>
  <c r="M9" i="16" s="1"/>
  <c r="F9" i="16"/>
  <c r="E9" i="16"/>
  <c r="D9" i="16"/>
  <c r="C9" i="16"/>
  <c r="B9" i="16"/>
  <c r="L8" i="16"/>
  <c r="K8" i="16"/>
  <c r="J8" i="16"/>
  <c r="I8" i="16"/>
  <c r="H8" i="16"/>
  <c r="G8" i="16"/>
  <c r="F8" i="16"/>
  <c r="E8" i="16"/>
  <c r="D8" i="16"/>
  <c r="C8" i="16"/>
  <c r="B8" i="16"/>
  <c r="M8" i="16" s="1"/>
  <c r="M7" i="16"/>
  <c r="L7" i="16"/>
  <c r="K7" i="16"/>
  <c r="J7" i="16"/>
  <c r="I7" i="16"/>
  <c r="H7" i="16"/>
  <c r="G7" i="16"/>
  <c r="F7" i="16"/>
  <c r="E7" i="16"/>
  <c r="D7" i="16"/>
  <c r="C7" i="16"/>
  <c r="B7" i="16"/>
  <c r="L6" i="16"/>
  <c r="K6" i="16"/>
  <c r="J6" i="16"/>
  <c r="I6" i="16"/>
  <c r="H6" i="16"/>
  <c r="G6" i="16"/>
  <c r="M6" i="16" s="1"/>
  <c r="F6" i="16"/>
  <c r="E6" i="16"/>
  <c r="D6" i="16"/>
  <c r="C6" i="16"/>
  <c r="B6" i="16"/>
  <c r="L5" i="16"/>
  <c r="L22" i="16" s="1"/>
  <c r="K5" i="16"/>
  <c r="K22" i="16" s="1"/>
  <c r="J5" i="16"/>
  <c r="J22" i="16" s="1"/>
  <c r="I5" i="16"/>
  <c r="I22" i="16" s="1"/>
  <c r="H5" i="16"/>
  <c r="H22" i="16" s="1"/>
  <c r="G5" i="16"/>
  <c r="G22" i="16" s="1"/>
  <c r="F5" i="16"/>
  <c r="F22" i="16" s="1"/>
  <c r="E5" i="16"/>
  <c r="E22" i="16" s="1"/>
  <c r="D5" i="16"/>
  <c r="D22" i="16" s="1"/>
  <c r="C5" i="16"/>
  <c r="C22" i="16" s="1"/>
  <c r="B5" i="16"/>
  <c r="L104" i="15"/>
  <c r="L103" i="15"/>
  <c r="L102" i="15"/>
  <c r="L101" i="15"/>
  <c r="L100" i="15"/>
  <c r="L99" i="15"/>
  <c r="L98" i="15"/>
  <c r="L97" i="15"/>
  <c r="L91" i="15"/>
  <c r="L90" i="15"/>
  <c r="L89" i="15"/>
  <c r="L88" i="15"/>
  <c r="L86" i="15"/>
  <c r="L85" i="15"/>
  <c r="L84" i="15"/>
  <c r="L83" i="15"/>
  <c r="L81" i="15"/>
  <c r="L78" i="15"/>
  <c r="L77" i="15"/>
  <c r="L76" i="15"/>
  <c r="L75" i="15"/>
  <c r="L74" i="15"/>
  <c r="L73" i="15"/>
  <c r="L70" i="15"/>
  <c r="L61" i="15"/>
  <c r="L60" i="15"/>
  <c r="L59" i="15"/>
  <c r="L57" i="15"/>
  <c r="L56" i="15"/>
  <c r="L55" i="15"/>
  <c r="L54" i="15"/>
  <c r="L53" i="15"/>
  <c r="L52" i="15"/>
  <c r="L51" i="15"/>
  <c r="L48" i="15"/>
  <c r="L47" i="15"/>
  <c r="L46" i="15"/>
  <c r="L41" i="15"/>
  <c r="L40" i="15"/>
  <c r="L39" i="15"/>
  <c r="L38" i="15"/>
  <c r="L37" i="15"/>
  <c r="L36" i="15"/>
  <c r="L35" i="15"/>
  <c r="L34" i="15"/>
  <c r="L33" i="15"/>
  <c r="L30" i="15"/>
  <c r="L29" i="15"/>
  <c r="L28" i="15"/>
  <c r="L27" i="15"/>
  <c r="L23" i="15"/>
  <c r="L22" i="15"/>
  <c r="L20" i="15"/>
  <c r="L19" i="15"/>
  <c r="L18" i="15"/>
  <c r="L17" i="15"/>
  <c r="L16" i="15"/>
  <c r="L15" i="15"/>
  <c r="L14" i="15"/>
  <c r="L13" i="15"/>
  <c r="L12" i="15"/>
  <c r="L10" i="15"/>
  <c r="L9" i="15"/>
  <c r="L8" i="15"/>
  <c r="L7" i="15"/>
  <c r="T4" i="15"/>
  <c r="D4" i="15"/>
  <c r="D2" i="15"/>
  <c r="F2" i="15" s="1"/>
  <c r="D1" i="15"/>
  <c r="M5" i="16" l="1"/>
  <c r="M22" i="16" s="1"/>
  <c r="B22" i="16"/>
  <c r="D3" i="15"/>
  <c r="F1" i="15"/>
  <c r="F3" i="15" l="1"/>
  <c r="R4"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6" authorId="0" shapeId="0" xr:uid="{00000000-0006-0000-0100-000001000000}">
      <text>
        <r>
          <rPr>
            <sz val="11"/>
            <color theme="1"/>
            <rFont val="Calibri"/>
            <scheme val="minor"/>
          </rPr>
          <t>======
ID#AAACGEaiF94
OpenAI    (2026-09-25 07:20:21)
Puedes cambiar el texto visible de la fecha de corte de Aula 911.</t>
        </r>
      </text>
    </comment>
  </commentList>
  <extLst>
    <ext xmlns:r="http://schemas.openxmlformats.org/officeDocument/2006/relationships" uri="GoogleSheetsCustomDataVersion2">
      <go:sheetsCustomData xmlns:go="http://customooxmlschemas.google.com/" r:id="rId1" roundtripDataSignature="AMtx7mjyTD/jljdgSzIY50ikHk6zW7aZC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200-000001000000}">
      <text>
        <r>
          <rPr>
            <sz val="11"/>
            <color theme="1"/>
            <rFont val="Calibri"/>
            <scheme val="minor"/>
          </rPr>
          <t>======
ID#AAACGEaiF98
OpenAI    (2026-09-25 07:20:21)
Este es el nombre visible. El campo técnico no debe cambiarse si el HTML lo usa.</t>
        </r>
      </text>
    </comment>
  </commentList>
  <extLst>
    <ext xmlns:r="http://schemas.openxmlformats.org/officeDocument/2006/relationships" uri="GoogleSheetsCustomDataVersion2">
      <go:sheetsCustomData xmlns:go="http://customooxmlschemas.google.com/" r:id="rId1" roundtripDataSignature="AMtx7mgIuF9YB/zVmstHQuqn77igezx3b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300-000001000000}">
      <text>
        <r>
          <rPr>
            <sz val="11"/>
            <color theme="1"/>
            <rFont val="Calibri"/>
            <scheme val="minor"/>
          </rPr>
          <t>======
ID#AAACGEaiF90
OpenAI    (2026-09-25 07:20:21)
Cambiar esta fecha cambia el corte lógico de la columna &lt;1/03/2026 en la base. El HTML debe usar esta configuración.</t>
        </r>
      </text>
    </comment>
  </commentList>
  <extLst>
    <ext xmlns:r="http://schemas.openxmlformats.org/officeDocument/2006/relationships" uri="GoogleSheetsCustomDataVersion2">
      <go:sheetsCustomData xmlns:go="http://customooxmlschemas.google.com/" r:id="rId1" roundtripDataSignature="AMtx7mj1JP2tPbOVOgV5H3LjhREinopIaA=="/>
    </ext>
  </extLst>
</comments>
</file>

<file path=xl/sharedStrings.xml><?xml version="1.0" encoding="utf-8"?>
<sst xmlns="http://schemas.openxmlformats.org/spreadsheetml/2006/main" count="6114" uniqueCount="2183">
  <si>
    <t>BASE DE DATOS DEL DASHBOARD</t>
  </si>
  <si>
    <t>BD_dashboard_operaciones_github.xlsx</t>
  </si>
  <si>
    <t>Cómo usarla</t>
  </si>
  <si>
    <t>Edita únicamente las hojas de datos. El HTML toma la información de este archivo.</t>
  </si>
  <si>
    <t>Fechas de corte</t>
  </si>
  <si>
    <t>Cámbialas en CONFIG_HTML / CONFIG_DASHBOARD. Ej.: 22/09/2026.</t>
  </si>
  <si>
    <t>Nombres de columnas</t>
  </si>
  <si>
    <t>Puedes cambiar los nombres visibles en CONFIG_HTML o en la columna DISPLAY_NAME de ENCABEZADOS.</t>
  </si>
  <si>
    <t>Resumen Ejecutivo</t>
  </si>
  <si>
    <t>No se edita manualmente: el HTML lo calcula a partir de las demás hojas.</t>
  </si>
  <si>
    <t>Iniciativas Estratégicas</t>
  </si>
  <si>
    <t>Edita BD_INICIATIVAS. La pestaña Resumen reproduce la lógica de TD por estado y FECHA FIN PLANIFICADA.</t>
  </si>
  <si>
    <t>Estados permitidos</t>
  </si>
  <si>
    <t>EJECUTADO, EN PROCESO, PENDIENTE, CANCELADO.</t>
  </si>
  <si>
    <t>Campus</t>
  </si>
  <si>
    <t>Edita la lista en LISTAS si agregas o renombras campus.</t>
  </si>
  <si>
    <t>Importante</t>
  </si>
  <si>
    <t>No cambies los nombres de las hojas técnicas si quieres mantener la vinculación actual del HTML.</t>
  </si>
  <si>
    <t>MEJORAS_PROGRAMACION</t>
  </si>
  <si>
    <t>Tabla auxiliar para compatibilidad con el HTML; se genera a partir de BD_INICIATIVAS.</t>
  </si>
  <si>
    <t>hoja</t>
  </si>
  <si>
    <t>clave</t>
  </si>
  <si>
    <t>selector</t>
  </si>
  <si>
    <t>valor</t>
  </si>
  <si>
    <t>tipo</t>
  </si>
  <si>
    <t>campo</t>
  </si>
  <si>
    <t>descripcion</t>
  </si>
  <si>
    <t>atributo</t>
  </si>
  <si>
    <t>display_name</t>
  </si>
  <si>
    <t>archivo_excel</t>
  </si>
  <si>
    <t>orden</t>
  </si>
  <si>
    <t>Nombre del archivo que debe leer el HTML</t>
  </si>
  <si>
    <t>visible</t>
  </si>
  <si>
    <t>anio</t>
  </si>
  <si>
    <t>formato</t>
  </si>
  <si>
    <t>meta:sec-resumen:eyebrow</t>
  </si>
  <si>
    <t>2026</t>
  </si>
  <si>
    <t>text</t>
  </si>
  <si>
    <t>LIMPIEZA_COBERTURA</t>
  </si>
  <si>
    <t>Año de trabajo</t>
  </si>
  <si>
    <t>col_1</t>
  </si>
  <si>
    <t>Proyectos operacionales</t>
  </si>
  <si>
    <t>iniciativas_fecha_corte</t>
  </si>
  <si>
    <t>Etiqueta superior del Resumen Ejecutivo</t>
  </si>
  <si>
    <t>Zona</t>
  </si>
  <si>
    <t>01/03/2026</t>
  </si>
  <si>
    <t>meta:sec-resumen:title</t>
  </si>
  <si>
    <t>Fecha usada para la columna &lt;1/03/2026</t>
  </si>
  <si>
    <t>aula911_fecha_corte</t>
  </si>
  <si>
    <t>Resumen ejecutivo</t>
  </si>
  <si>
    <t>Sí</t>
  </si>
  <si>
    <t>22/09/2026</t>
  </si>
  <si>
    <t>Título del Resumen Ejecutivo</t>
  </si>
  <si>
    <t>Fecha de corte mostrada en Aula 911</t>
  </si>
  <si>
    <t>#sec-limpieza-cobertura .section-intro p</t>
  </si>
  <si>
    <t>rondas_fecha_corte</t>
  </si>
  <si>
    <t>23/09/2026</t>
  </si>
  <si>
    <t>Vista consolidada por campus · Dotación agosto 2026 vs. cobertura 17/09</t>
  </si>
  <si>
    <t>Fecha de corte mostrada en Rondas</t>
  </si>
  <si>
    <t>Texto de corte/introducción</t>
  </si>
  <si>
    <t>col_2</t>
  </si>
  <si>
    <t>limpieza_cobertura_fecha_corte</t>
  </si>
  <si>
    <t>17/09/2026</t>
  </si>
  <si>
    <t>#sec-limpieza-presupuesto .section-intro p</t>
  </si>
  <si>
    <t>Fecha de cobertura</t>
  </si>
  <si>
    <t>limpieza_presupuesto_corte</t>
  </si>
  <si>
    <t>30/09/2026</t>
  </si>
  <si>
    <t>Corte del presupuesto/penalidades</t>
  </si>
  <si>
    <t>Presupuesto 2026 y descuentos / penalidades registrados</t>
  </si>
  <si>
    <t>Texto de introducción</t>
  </si>
  <si>
    <t>#sec-operaciones-aula911 .section-intro p</t>
  </si>
  <si>
    <t>Indicadores 2026 · corte 22/09</t>
  </si>
  <si>
    <t>Fecha de corte Aula 911</t>
  </si>
  <si>
    <t>#sec-operaciones-rondas .section-intro p</t>
  </si>
  <si>
    <t>col_3</t>
  </si>
  <si>
    <t>Turno Mañana</t>
  </si>
  <si>
    <t>Indicadores 2026 · corte 23/09</t>
  </si>
  <si>
    <t>Fecha de corte Rondas</t>
  </si>
  <si>
    <t>#sec-proyectos-resumen .section-intro p</t>
  </si>
  <si>
    <t>Portafolio consolidado y avance de obra / compras</t>
  </si>
  <si>
    <t>#sec-mejoras-resumen .section-intro p</t>
  </si>
  <si>
    <t>col_4</t>
  </si>
  <si>
    <t>Consolidado por estado y programación mensual</t>
  </si>
  <si>
    <t>Turno Tarde</t>
  </si>
  <si>
    <t>#sec-listo-resumen .section-intro p</t>
  </si>
  <si>
    <t>Estado de diseño, obra y operación por campus</t>
  </si>
  <si>
    <t>col_5</t>
  </si>
  <si>
    <t>Turno Noche</t>
  </si>
  <si>
    <t>col_6</t>
  </si>
  <si>
    <t>Cobertura Mañana</t>
  </si>
  <si>
    <t>col_7</t>
  </si>
  <si>
    <t>Cobertura Tarde</t>
  </si>
  <si>
    <t>col_8</t>
  </si>
  <si>
    <t>Cobertura Noche</t>
  </si>
  <si>
    <t>modulo</t>
  </si>
  <si>
    <t>col_9</t>
  </si>
  <si>
    <t>indicador</t>
  </si>
  <si>
    <t>Pendiente Mañana</t>
  </si>
  <si>
    <t>unidad</t>
  </si>
  <si>
    <t>col_10</t>
  </si>
  <si>
    <t>Limpieza</t>
  </si>
  <si>
    <t>Pendiente Tarde</t>
  </si>
  <si>
    <t>Cobertura total</t>
  </si>
  <si>
    <t>porcentaje</t>
  </si>
  <si>
    <t>Cobertura semanal total</t>
  </si>
  <si>
    <t>col_11</t>
  </si>
  <si>
    <t>Pendiente Noche</t>
  </si>
  <si>
    <t>Alias compatible con HTML</t>
  </si>
  <si>
    <t>Dotación programada (turnos)</t>
  </si>
  <si>
    <t>entero</t>
  </si>
  <si>
    <t>col_12</t>
  </si>
  <si>
    <t>Turnos programados</t>
  </si>
  <si>
    <t>#</t>
  </si>
  <si>
    <t>Turnos cubiertos</t>
  </si>
  <si>
    <t>Turnos pendientes</t>
  </si>
  <si>
    <t>col_13</t>
  </si>
  <si>
    <t>%</t>
  </si>
  <si>
    <t>Presupuesto 2026</t>
  </si>
  <si>
    <t>moneda</t>
  </si>
  <si>
    <t>LIMPIEZA_PRESUPUESTO</t>
  </si>
  <si>
    <t>Presupuesto</t>
  </si>
  <si>
    <t>Presupuesto ejecutado</t>
  </si>
  <si>
    <t>Concepto</t>
  </si>
  <si>
    <t>Ejecutado</t>
  </si>
  <si>
    <t>Nivel de ejecución</t>
  </si>
  <si>
    <t>Periodo</t>
  </si>
  <si>
    <t>Ejecutado / presupuesto</t>
  </si>
  <si>
    <t>Descuentos + penalidades</t>
  </si>
  <si>
    <t>Total</t>
  </si>
  <si>
    <t>Aula 911</t>
  </si>
  <si>
    <t># incidencias</t>
  </si>
  <si>
    <t>Monto</t>
  </si>
  <si>
    <t>Incidencias</t>
  </si>
  <si>
    <t>Tiempo acepta solicitud</t>
  </si>
  <si>
    <t>AULA911_CAMPUS</t>
  </si>
  <si>
    <t>minutos</t>
  </si>
  <si>
    <t>Minutos</t>
  </si>
  <si>
    <t>Tiempo atiende solicitud</t>
  </si>
  <si>
    <t>Tiempo total de atención</t>
  </si>
  <si>
    <t>Tiempo acepta (min)</t>
  </si>
  <si>
    <t>Valoración general</t>
  </si>
  <si>
    <t>decimal</t>
  </si>
  <si>
    <t>Satisfacción</t>
  </si>
  <si>
    <t>Rondas</t>
  </si>
  <si>
    <t>% cumplimiento</t>
  </si>
  <si>
    <t>Tiempo atiende (min)</t>
  </si>
  <si>
    <t>Cumplimiento total</t>
  </si>
  <si>
    <t>% cumplimiento encargado</t>
  </si>
  <si>
    <t>Cumplimiento encargado</t>
  </si>
  <si>
    <t>Tiempo total (min)</t>
  </si>
  <si>
    <t>% cumplimiento Asistente</t>
  </si>
  <si>
    <t>Cumplimiento asistente</t>
  </si>
  <si>
    <t>Valoración</t>
  </si>
  <si>
    <t>Total programado</t>
  </si>
  <si>
    <t>Programado</t>
  </si>
  <si>
    <t>Total ejecutado</t>
  </si>
  <si>
    <t>Es subsede</t>
  </si>
  <si>
    <t># checkpoints</t>
  </si>
  <si>
    <t>RONDAS</t>
  </si>
  <si>
    <t>Sede</t>
  </si>
  <si>
    <t>Checkpoints</t>
  </si>
  <si>
    <t>Proyectos</t>
  </si>
  <si>
    <t>Total proyectos</t>
  </si>
  <si>
    <t>En proceso</t>
  </si>
  <si>
    <t>concepto</t>
  </si>
  <si>
    <t># disp. asignados</t>
  </si>
  <si>
    <t>periodo</t>
  </si>
  <si>
    <t>Proyectos en proceso</t>
  </si>
  <si>
    <t>monto</t>
  </si>
  <si>
    <t>zona</t>
  </si>
  <si>
    <t>Descuentos faltas/tardanzas</t>
  </si>
  <si>
    <t># responsables</t>
  </si>
  <si>
    <t>Pendientes</t>
  </si>
  <si>
    <t>campus</t>
  </si>
  <si>
    <t>2026-05</t>
  </si>
  <si>
    <t>dot_m</t>
  </si>
  <si>
    <t>dot_t</t>
  </si>
  <si>
    <t>Proyectos pendientes</t>
  </si>
  <si>
    <t>dot_n</t>
  </si>
  <si>
    <t>2026-06</t>
  </si>
  <si>
    <t>cob_m</t>
  </si>
  <si>
    <t>Listo</t>
  </si>
  <si>
    <t>cob_t</t>
  </si>
  <si>
    <t>Registros</t>
  </si>
  <si>
    <t>2026-07</t>
  </si>
  <si>
    <t>cob_n</t>
  </si>
  <si>
    <t>pend_m</t>
  </si>
  <si>
    <t>2026-08</t>
  </si>
  <si>
    <t>pend_t</t>
  </si>
  <si>
    <t>pend_n</t>
  </si>
  <si>
    <t>2026-09</t>
  </si>
  <si>
    <t>pend_total</t>
  </si>
  <si>
    <t>cobertura_pct</t>
  </si>
  <si>
    <t>Penalidades</t>
  </si>
  <si>
    <t>Operativos</t>
  </si>
  <si>
    <t>LIMA</t>
  </si>
  <si>
    <t>Cumplimiento %</t>
  </si>
  <si>
    <t>SJL I</t>
  </si>
  <si>
    <t>Por implementar</t>
  </si>
  <si>
    <t>PROYECTOS</t>
  </si>
  <si>
    <t>Proyecto</t>
  </si>
  <si>
    <t>ALMACEN CENTRAL</t>
  </si>
  <si>
    <t>Estado</t>
  </si>
  <si>
    <t>Avance obra %</t>
  </si>
  <si>
    <t>JARRITA</t>
  </si>
  <si>
    <t>Avance compras %</t>
  </si>
  <si>
    <t>Fecha objetivo</t>
  </si>
  <si>
    <t>TORRE NUEVA</t>
  </si>
  <si>
    <t>Con observaciones</t>
  </si>
  <si>
    <t>Nueva fecha</t>
  </si>
  <si>
    <t>PROYECTO_DETALLE</t>
  </si>
  <si>
    <t>LIMA NORTE</t>
  </si>
  <si>
    <t>Descripción</t>
  </si>
  <si>
    <t>PROVINCIA</t>
  </si>
  <si>
    <t>AREQUIPA POSTGRADO</t>
  </si>
  <si>
    <t>Avance implementación %</t>
  </si>
  <si>
    <t>CHIMBOTE</t>
  </si>
  <si>
    <t>PIURA</t>
  </si>
  <si>
    <t>URL seguimiento</t>
  </si>
  <si>
    <t>IMPLEMENTACIONES</t>
  </si>
  <si>
    <t>Título</t>
  </si>
  <si>
    <t>TRUJILLO</t>
  </si>
  <si>
    <t>Avance %</t>
  </si>
  <si>
    <t>HUANCAYO</t>
  </si>
  <si>
    <t>URL</t>
  </si>
  <si>
    <t>tiempo_acepta_min</t>
  </si>
  <si>
    <t>LISTO</t>
  </si>
  <si>
    <t>tiempo_atiende_min</t>
  </si>
  <si>
    <t>tiempo_total_min</t>
  </si>
  <si>
    <t>valoracion</t>
  </si>
  <si>
    <t>HUANUCO</t>
  </si>
  <si>
    <t>es_subsede</t>
  </si>
  <si>
    <t>CAMPUS CHIMBOTE</t>
  </si>
  <si>
    <t>Diseño %</t>
  </si>
  <si>
    <t>Obra %</t>
  </si>
  <si>
    <t>CAMPUS TRUJILLO</t>
  </si>
  <si>
    <t>IQUITOS</t>
  </si>
  <si>
    <t>tipo_incidencia</t>
  </si>
  <si>
    <t>Operación</t>
  </si>
  <si>
    <t>participacion</t>
  </si>
  <si>
    <t>CAMPUS PIURA</t>
  </si>
  <si>
    <t>Problema con la PC</t>
  </si>
  <si>
    <t>Problema con el proyector</t>
  </si>
  <si>
    <t>CAMPUS AREQUIPA</t>
  </si>
  <si>
    <t>Problema con el audio</t>
  </si>
  <si>
    <t>Problema con el Zoom</t>
  </si>
  <si>
    <t>PUCALLPA</t>
  </si>
  <si>
    <t>Tacna y Arica</t>
  </si>
  <si>
    <t>Ambiente cerrado</t>
  </si>
  <si>
    <t>Con observación</t>
  </si>
  <si>
    <t>Parra</t>
  </si>
  <si>
    <t>ICA</t>
  </si>
  <si>
    <t>Parra 2</t>
  </si>
  <si>
    <t>CAMPUS</t>
  </si>
  <si>
    <t>texto</t>
  </si>
  <si>
    <t>Fecha inicio</t>
  </si>
  <si>
    <t>No</t>
  </si>
  <si>
    <t>fecha</t>
  </si>
  <si>
    <t>Fecha fin</t>
  </si>
  <si>
    <t>&lt;1/03/2026</t>
  </si>
  <si>
    <t>Mar</t>
  </si>
  <si>
    <t>CAMPUS IQUITOS</t>
  </si>
  <si>
    <t>Abr</t>
  </si>
  <si>
    <t>May</t>
  </si>
  <si>
    <t>Jun</t>
  </si>
  <si>
    <t>Jul</t>
  </si>
  <si>
    <t>Ago</t>
  </si>
  <si>
    <t>CAMPUS HUANCAYO</t>
  </si>
  <si>
    <t>Set</t>
  </si>
  <si>
    <t>TORRE II</t>
  </si>
  <si>
    <t>Oct</t>
  </si>
  <si>
    <t>Nov</t>
  </si>
  <si>
    <t>col_14</t>
  </si>
  <si>
    <t>Dic</t>
  </si>
  <si>
    <t>CAMPUS ATE UTP</t>
  </si>
  <si>
    <t>col_15</t>
  </si>
  <si>
    <t>Total general</t>
  </si>
  <si>
    <t>CAMPUS CHICLAYO</t>
  </si>
  <si>
    <t>TACNA</t>
  </si>
  <si>
    <t>CAMPUS SAN JUAN DE LURIGANCHO</t>
  </si>
  <si>
    <t>CAMPUS ICA</t>
  </si>
  <si>
    <t>ATE</t>
  </si>
  <si>
    <t>CAMPUS LIMA</t>
  </si>
  <si>
    <t>Torre Petit Thouars</t>
  </si>
  <si>
    <t>CHICLAYO</t>
  </si>
  <si>
    <t>Edificio Pacífico</t>
  </si>
  <si>
    <t>Torre Arequipa</t>
  </si>
  <si>
    <t>PACIFICO</t>
  </si>
  <si>
    <t>Sede Central</t>
  </si>
  <si>
    <t>CAMPUS PUCALLPA</t>
  </si>
  <si>
    <t>LIMA SUR</t>
  </si>
  <si>
    <t>CAMPUS TACNA</t>
  </si>
  <si>
    <t>CAMPUS LIMA NORTE UTP</t>
  </si>
  <si>
    <t>SEDE CENTRAL</t>
  </si>
  <si>
    <t>CAMPUS LIMA SUR UTP</t>
  </si>
  <si>
    <t>sede</t>
  </si>
  <si>
    <t>dispositivos_asignados</t>
  </si>
  <si>
    <t>responsables</t>
  </si>
  <si>
    <t>programado</t>
  </si>
  <si>
    <t>OFICINAS ADMINISTRATIVA</t>
  </si>
  <si>
    <t>ejecutado</t>
  </si>
  <si>
    <t>cumplimiento_pct</t>
  </si>
  <si>
    <t>05. UTP Lima Sur</t>
  </si>
  <si>
    <t>AREQUIPA I</t>
  </si>
  <si>
    <t>04. UTP Ate</t>
  </si>
  <si>
    <t>03. UTP SJL</t>
  </si>
  <si>
    <t>SJL II</t>
  </si>
  <si>
    <t>11. UTP Huancayo</t>
  </si>
  <si>
    <t>AREQUIPA III</t>
  </si>
  <si>
    <t>07. UTP Chiclayo</t>
  </si>
  <si>
    <t>01. UTP Lima Centro</t>
  </si>
  <si>
    <t>AREQUIPA II</t>
  </si>
  <si>
    <t>03. UTP Lima Centro Torre Petit Thouars</t>
  </si>
  <si>
    <t>01. UTP Lima Centro Sede Central</t>
  </si>
  <si>
    <t>EPG SALAVERRY</t>
  </si>
  <si>
    <t>04. UTP Lima Centro Torre Pacífico</t>
  </si>
  <si>
    <t>02. UTP Lima Centro Torre Arequipa</t>
  </si>
  <si>
    <t>JOSE DIAZ</t>
  </si>
  <si>
    <t>06. UTP Arequipa</t>
  </si>
  <si>
    <t>02. UTP Arequipa Parra I</t>
  </si>
  <si>
    <t>03. UTP Arequipa Parra II</t>
  </si>
  <si>
    <t>01. UTP Arequipa Tacna y Arica</t>
  </si>
  <si>
    <t>09. UTP Piura</t>
  </si>
  <si>
    <t>proyecto</t>
  </si>
  <si>
    <t>estado</t>
  </si>
  <si>
    <t>13. UTP Iquitos</t>
  </si>
  <si>
    <t>avance_obra_pct</t>
  </si>
  <si>
    <t>avance_compras_pct</t>
  </si>
  <si>
    <t>fecha_objetivo_texto</t>
  </si>
  <si>
    <t>avance_implementacion_pct</t>
  </si>
  <si>
    <t>con_observaciones</t>
  </si>
  <si>
    <t>nueva_fecha_texto</t>
  </si>
  <si>
    <t>14. UTP Pucallpa</t>
  </si>
  <si>
    <t>url_seguimiento</t>
  </si>
  <si>
    <t>Nuevo Edificio Campus Lima Norte (Salud) – Por definir ITSE</t>
  </si>
  <si>
    <t>Campus Huánuco</t>
  </si>
  <si>
    <t>1 semisótano · 5 pisos · 1 azotea</t>
  </si>
  <si>
    <t>OCT 26</t>
  </si>
  <si>
    <t>02. UTP Lima Norte</t>
  </si>
  <si>
    <t>SET 26</t>
  </si>
  <si>
    <t>https://seguimiento-proyectos-ops-utp.proyectos-ops-utp.workers.dev/?p=implementacion-nueva-sede-utp-huanuco-etapa-1&amp;tab=p1</t>
  </si>
  <si>
    <t>-</t>
  </si>
  <si>
    <t>Campus Huamanga</t>
  </si>
  <si>
    <t>1 sótano · 5 pisos · 1 azotea</t>
  </si>
  <si>
    <t>90</t>
  </si>
  <si>
    <t>Laboratorios Salud Campus Lima Norte – ETAPA I – Pendiente ITSE</t>
  </si>
  <si>
    <t>https://seguimiento-proyectos-ops-utp.proyectos-ops-utp.workers.dev/?p=implementacion-nueva-sede-utp-huamanga-etapa-1&amp;tab=p1</t>
  </si>
  <si>
    <t>12. UTP Trujillo</t>
  </si>
  <si>
    <t>Campus Juliaca</t>
  </si>
  <si>
    <t>0</t>
  </si>
  <si>
    <t>Laboratorios de Técnicas Dietéticas y Terapia (Iquitos –Pucallpa)</t>
  </si>
  <si>
    <t>NOV 26</t>
  </si>
  <si>
    <t>https://seguimiento-proyectos-ops-utp.proyectos-ops-utp.workers.dev/?p=implementacion-nueva-sede-utp-juliaca-etapa-1&amp;tab=p1</t>
  </si>
  <si>
    <t>Campus Lima Norte</t>
  </si>
  <si>
    <t>4 sótanos · 1 semisótano · 7 pisos · 1 azotea</t>
  </si>
  <si>
    <t>08. UTP Ica</t>
  </si>
  <si>
    <t>https://seguimiento-proyectos-ops-utp.proyectos-ops-utp.workers.dev/?p=implementacion-nueva-torre-utp-lima-norte&amp;tab=p1</t>
  </si>
  <si>
    <t>10. UTP Chimbote</t>
  </si>
  <si>
    <t>15. UTP Tacna</t>
  </si>
  <si>
    <t>Nuevo Campus Juliaca – ITSE - 18/11</t>
  </si>
  <si>
    <t>ENE 27</t>
  </si>
  <si>
    <t>Nuevos Laboratorios de Odontología – Lima Centro - Jarrita</t>
  </si>
  <si>
    <t>MAR 27</t>
  </si>
  <si>
    <t>Nuevo Campus Cusco</t>
  </si>
  <si>
    <t>Pendiente</t>
  </si>
  <si>
    <t>JUL 27</t>
  </si>
  <si>
    <t>Ampliación Campus Huancayo</t>
  </si>
  <si>
    <t>AGO 27</t>
  </si>
  <si>
    <t>Ampliación Campus Piura</t>
  </si>
  <si>
    <t>Remodelación de Saco Oliveros</t>
  </si>
  <si>
    <t>Clínica Odontológica – Guzman Blanco</t>
  </si>
  <si>
    <t>Idat Campus SJL</t>
  </si>
  <si>
    <t>Idat Campus SJM</t>
  </si>
  <si>
    <t>Idat Chiclayo</t>
  </si>
  <si>
    <t>titulo</t>
  </si>
  <si>
    <t>avance_pct</t>
  </si>
  <si>
    <t>Medicina Ica</t>
  </si>
  <si>
    <t>url</t>
  </si>
  <si>
    <t>Trujillo | ÁREAS DE ESPARCIMIENTO</t>
  </si>
  <si>
    <t xml:space="preserve">64 </t>
  </si>
  <si>
    <t>https://lovely-horn-db6.notion.site/3d755146449f80c0a3cce29f4f317a51?v=3d755146449f802ba9a4000c451a72db</t>
  </si>
  <si>
    <t>Trujillo | ZONA DE FOTOCOPIADO</t>
  </si>
  <si>
    <t xml:space="preserve">75 </t>
  </si>
  <si>
    <t>Trujillo | CAFETERÍA CONCESIONARIO</t>
  </si>
  <si>
    <t>Medicina Trujillo</t>
  </si>
  <si>
    <t xml:space="preserve">82 </t>
  </si>
  <si>
    <t>Trujillo | CAFETERÍA CAMPUS</t>
  </si>
  <si>
    <t xml:space="preserve">83 </t>
  </si>
  <si>
    <t>SJL | ÁREAS DE ESPARCIMIENTO</t>
  </si>
  <si>
    <t>PPTO OPS</t>
  </si>
  <si>
    <t xml:space="preserve">33 </t>
  </si>
  <si>
    <t>SJL | ZONA DE FOTOCOPIADO</t>
  </si>
  <si>
    <t>Medicina Piura</t>
  </si>
  <si>
    <t>SJL | CAFETERÍA CONCESIONARIO</t>
  </si>
  <si>
    <t xml:space="preserve">91 </t>
  </si>
  <si>
    <t>Piura | ÁREAS DE ESPARCIMIENTO</t>
  </si>
  <si>
    <t xml:space="preserve">42 </t>
  </si>
  <si>
    <t>PPTO SSGG</t>
  </si>
  <si>
    <t>Piura | ZONA DE FOTOCOPIADO</t>
  </si>
  <si>
    <t>diseno_pct</t>
  </si>
  <si>
    <t xml:space="preserve">100 </t>
  </si>
  <si>
    <t>obra_pct</t>
  </si>
  <si>
    <t>Piura | CAFETERÍA CONCESIONARIO</t>
  </si>
  <si>
    <t>operacion</t>
  </si>
  <si>
    <t>TOTAL PPTO</t>
  </si>
  <si>
    <t>Lima Sur | ÁREAS DE ESPARCIMIENTO</t>
  </si>
  <si>
    <t>con_observacion</t>
  </si>
  <si>
    <t>Lima Sur | ZONA DE FOTOCOPIADO</t>
  </si>
  <si>
    <t>TOTAL EJECUTADO</t>
  </si>
  <si>
    <t>Lima Sur | CAFETERÍA CONCESIONARIO</t>
  </si>
  <si>
    <t>LC – Torre Tecnológica Arequipa (I)</t>
  </si>
  <si>
    <t>Lima Norte | ÁREAS DE ESPARCIMIENTO</t>
  </si>
  <si>
    <t>ID</t>
  </si>
  <si>
    <t>ORIGEN2</t>
  </si>
  <si>
    <t>RESPONSABLE DEL
 PROYECTO</t>
  </si>
  <si>
    <t>RESPONSABLE DEL
 PROYECTO2</t>
  </si>
  <si>
    <t>CORREO</t>
  </si>
  <si>
    <t>TELÉFONO</t>
  </si>
  <si>
    <t>Columna1</t>
  </si>
  <si>
    <t>Lima Norte | ZONA DE FOTOCOPIADO</t>
  </si>
  <si>
    <t>BREVE DESCRIPCIÓN  DEL PROYECTO</t>
  </si>
  <si>
    <t>LINK VIDEO / FOTOS</t>
  </si>
  <si>
    <t>ESTADO INICAL
 DE APROBACIÓN</t>
  </si>
  <si>
    <t>PUNTAJE PRIORIDAD</t>
  </si>
  <si>
    <t xml:space="preserve">IMPACTO SERVICIO AL ALUMNO </t>
  </si>
  <si>
    <t>IMPACTO IMAGEN / REPUTACIÓN</t>
  </si>
  <si>
    <t>IMPACTO EN OPERACIÓN</t>
  </si>
  <si>
    <t>COMENTARIOS DE
 INFRAESTRUCTURA</t>
  </si>
  <si>
    <t>Mar-26</t>
  </si>
  <si>
    <t>TIENE
 PRESUPUESTO</t>
  </si>
  <si>
    <t>UE</t>
  </si>
  <si>
    <t>Lima Norte | CAFETERÍA CONCESIONARIO</t>
  </si>
  <si>
    <t>UBICACIÓN PROYECTO (UE)</t>
  </si>
  <si>
    <t>MONTO INVERSIÓN DEL PROYECTO
(INC IGV)</t>
  </si>
  <si>
    <t>MONTO EJECUTADO DEL PROYECTO
(INC IGV)</t>
  </si>
  <si>
    <t>PRIORIDAD</t>
  </si>
  <si>
    <t>FECHA INICIO
PLANIFICADA</t>
  </si>
  <si>
    <t>Lima Centro TTA | ÁREAS DE ESPARCIMIENTO</t>
  </si>
  <si>
    <t>FECHA FIN
PLANIFICADA</t>
  </si>
  <si>
    <t>FECHA INICIO 
REAL</t>
  </si>
  <si>
    <t>FECHA FIN
REAL</t>
  </si>
  <si>
    <t>ESTADO
PROYECTO
OPERATIVO</t>
  </si>
  <si>
    <t>ESTADO
PROYECTO
FINANCIERO</t>
  </si>
  <si>
    <t>EJECUTOR</t>
  </si>
  <si>
    <t>SC</t>
  </si>
  <si>
    <t>FECHA INGRESO SC</t>
  </si>
  <si>
    <t>Lima Centro TTA | ZONA DE FOTOCOPIADO</t>
  </si>
  <si>
    <t>OC</t>
  </si>
  <si>
    <t>FECHA GENERACIÓN OC</t>
  </si>
  <si>
    <t>LC – Sede Central (I)</t>
  </si>
  <si>
    <t>CÓDIGO</t>
  </si>
  <si>
    <t>DESCRIPCIÓN PROYECTO</t>
  </si>
  <si>
    <t>FECHA ATENCIÓN</t>
  </si>
  <si>
    <t>ATENDIDO POR</t>
  </si>
  <si>
    <t>Comentario</t>
  </si>
  <si>
    <t>EFICIENCIA</t>
  </si>
  <si>
    <t>Comentarios Eloy</t>
  </si>
  <si>
    <t>Caso</t>
  </si>
  <si>
    <t>Lima Centro TTA | CAFETERÍA CONCESIONARIO</t>
  </si>
  <si>
    <t>OPS_001</t>
  </si>
  <si>
    <t>OPS</t>
  </si>
  <si>
    <t>Nestor Silva</t>
  </si>
  <si>
    <t>100</t>
  </si>
  <si>
    <t xml:space="preserve">ACONDICIONAR AMBIENTE AL COSTADO DE TOPICO EN TORREB PARA QUE SEA  KITCHENET DOCENTE </t>
  </si>
  <si>
    <t xml:space="preserve">TORRE B NO TIENE ESPACIOS PARA DOCENTES (CAD KITCHENET), UTILIZAR EL ESPACIO DE LA OFICINA CONTIGUA AL TÓPICOQUE SE ENCUENTRA VACÍA COMO KITCHENNETTE PARA DOCENTES </t>
  </si>
  <si>
    <t>https://www,dropbox,com/scl/fo/t8a94dgffyjikmjdnamuh/ADI5WDjY4ELz_kWRkOXgTm8?rlkey=dtm5fyuuwarbzrhs4wqefssqt&amp;dl=0</t>
  </si>
  <si>
    <t>OK</t>
  </si>
  <si>
    <t>Lima Centro Petit Thouars | ÁREAS DE ESPARCIMIENTO</t>
  </si>
  <si>
    <t xml:space="preserve">11 </t>
  </si>
  <si>
    <t>OK para evaluar</t>
  </si>
  <si>
    <t>SI</t>
  </si>
  <si>
    <t>UTP SJL</t>
  </si>
  <si>
    <t>UTP AV,SOL SUB LT 13B MZG SJL - LIMA</t>
  </si>
  <si>
    <t>Lima Centro Pacífico | ÁREAS DE ESPARCIMIENTO</t>
  </si>
  <si>
    <t>B</t>
  </si>
  <si>
    <t xml:space="preserve">38 </t>
  </si>
  <si>
    <t>6/04/2026</t>
  </si>
  <si>
    <t>Lima Centro Pacífico | CAFETERÍA CONCESIONARIO</t>
  </si>
  <si>
    <t>EJECUTADO</t>
  </si>
  <si>
    <t>LC – Torre II (I)</t>
  </si>
  <si>
    <t>Infraestructura</t>
  </si>
  <si>
    <t xml:space="preserve">74 </t>
  </si>
  <si>
    <t>PROY1430</t>
  </si>
  <si>
    <t>Consultar con Infraestructura</t>
  </si>
  <si>
    <t>OPS_002</t>
  </si>
  <si>
    <t xml:space="preserve">VICENTE CAYETANO RODRIGUEZ PASTOR </t>
  </si>
  <si>
    <t>vrodriguep@utp,edu,pe</t>
  </si>
  <si>
    <t>955 141 444</t>
  </si>
  <si>
    <t>Ampliación de la oficina de TI</t>
  </si>
  <si>
    <t>Lima Centro - SC | ÁREAS DE ESPARCIMIENTO</t>
  </si>
  <si>
    <t>Necesidad de ampliar la oficina de Sistemas (TI) por la cantidad de colaboradores que allí laboran, Además el ambiente requiere contar con un área adecuada para el almacenamiento de equipos tecnológicos y la implementación del sistema biométrico lo que hace indispensable una ampliación que permita optimizar las condiciones de trabajo y seguridad,</t>
  </si>
  <si>
    <t>Proyectos CAPEX_PIURA - Dropbox</t>
  </si>
  <si>
    <t xml:space="preserve">14 </t>
  </si>
  <si>
    <t>UTP Piura</t>
  </si>
  <si>
    <t>UTP AV,PANAMERICANA 234 -PIURA</t>
  </si>
  <si>
    <t>Lima Centro - SC | ZONA DE FOTOCOPIADO</t>
  </si>
  <si>
    <t>Mantenimiento</t>
  </si>
  <si>
    <t>SC-0000116696-2026</t>
  </si>
  <si>
    <t>OC-0000122809-2026</t>
  </si>
  <si>
    <t>MEJ00183</t>
  </si>
  <si>
    <t>UTP_Piura_Ampliacion_Oficina _TI</t>
  </si>
  <si>
    <t>ESEVERINO</t>
  </si>
  <si>
    <t>LS – Piso 1 (I)</t>
  </si>
  <si>
    <t>OPS_003</t>
  </si>
  <si>
    <t>Soledad Palacios</t>
  </si>
  <si>
    <t>Lima Centro - SC | CAFETERÍA CONCESIONARIO</t>
  </si>
  <si>
    <t>Anaqueles para depósito de mantenimiento - Sótano 1</t>
  </si>
  <si>
    <t>Materiales y herramientas en desorden impidiendo realizar un adecuado inventario</t>
  </si>
  <si>
    <t xml:space="preserve">https://www,dropbox,com/scl/fo/ygr8hf8nc7sv9xb4l0xwd/ALWiM47178yHX-TQzmGJhc0?rlkey=yl7begjvbrhyckomvjk2kiwdg&amp;st=aslk3c2p&amp;dl=0 </t>
  </si>
  <si>
    <t xml:space="preserve">73 </t>
  </si>
  <si>
    <t>UTP Trujillo</t>
  </si>
  <si>
    <t>UTP NICOLAS PIEROLA - TRUJILLO</t>
  </si>
  <si>
    <t>A</t>
  </si>
  <si>
    <t>Iquitos | ÁREAS DE ESPARCIMIENTO</t>
  </si>
  <si>
    <t>EN PROCESO</t>
  </si>
  <si>
    <t>SC-0000115856-2026</t>
  </si>
  <si>
    <t xml:space="preserve">7 </t>
  </si>
  <si>
    <t>AM001207</t>
  </si>
  <si>
    <t>UTP_Trujillo_Anaqueles_depósito_mantenimiento_Sótano 1</t>
  </si>
  <si>
    <t>OC en cotización</t>
  </si>
  <si>
    <t>OPS_004</t>
  </si>
  <si>
    <t>Marco Bonifaz</t>
  </si>
  <si>
    <t>Ica | ÁREAS DE ESPARCIMIENTO</t>
  </si>
  <si>
    <t>Ascensor de escaleras para personas con discapacidad del piso 15 a la terraza en torre A y torre B,</t>
  </si>
  <si>
    <t>Los ascensores de ambas torres van hasta el piso 15 las personas con discapacidad no pueden acceder a la terraza del piso 16 en torre A tenemos espacios libres y próximamente a Listo y en la terraza de la torre B tenemos también espacios libres y zona de vida universitaria,</t>
  </si>
  <si>
    <t>EJEMPLO DE ASCENSOR DE ESCALERA PARA DISCAPACITADOS,jpg</t>
  </si>
  <si>
    <t>Revisar di instalación de equipo perjudica evacuación del piso</t>
  </si>
  <si>
    <t>UTP Lima Norte</t>
  </si>
  <si>
    <t>UTP AV,INFANTAS MZ 2E LOTE 28, URB, STA LUISA - LOS OLIVOS</t>
  </si>
  <si>
    <t>Ica | ZONA DE FOTOCOPIADO</t>
  </si>
  <si>
    <t>LS – Piso 10 (I)</t>
  </si>
  <si>
    <t>PENDIENTE</t>
  </si>
  <si>
    <t>OPS_005</t>
  </si>
  <si>
    <t>Eloy Pocohuanca</t>
  </si>
  <si>
    <t>epocohuanc@utp,edu,pe</t>
  </si>
  <si>
    <t>937 029 622</t>
  </si>
  <si>
    <t>Cambio de counter de biblioteca cambio de mesas de sala grupal cambio de Puff de SAE Implementación de sillas para VU</t>
  </si>
  <si>
    <t>Cambio de counter de biblioteca de mesas grupales de biblioteca de puff de SAE por deterioro implementación de sillas para la sala de vida universitaria y asi se le pueda dar usi incluso para las diversas actividades universitarias (taller etc)</t>
  </si>
  <si>
    <t>UTP Chimbote</t>
  </si>
  <si>
    <t>Ica | CAFETERÍA CONCESIONARIO</t>
  </si>
  <si>
    <t>UTP PASERO DEL MAR MZ C9- LT2 - CHIMBOTE</t>
  </si>
  <si>
    <t xml:space="preserve">0 </t>
  </si>
  <si>
    <t>Proyectos Ops</t>
  </si>
  <si>
    <t>SC-0000118185-2026  / SC-0000120820-2026</t>
  </si>
  <si>
    <t>OC-0000121793-2026 / OC-0000124082-2026</t>
  </si>
  <si>
    <t>AM001195</t>
  </si>
  <si>
    <t>UTP_Chimbote_Cambio_counter biblioteca_Puff de SAE_mesas grupales_implementacion sillas_VU</t>
  </si>
  <si>
    <t>generación de SC y OC: 24/02 / 17/03</t>
  </si>
  <si>
    <t>Ica | CAFETERÍA CAMPUS</t>
  </si>
  <si>
    <t>OPS_006</t>
  </si>
  <si>
    <t xml:space="preserve">Carlos Sanchez Pariona </t>
  </si>
  <si>
    <t>csanchezp@utp,edu,pe</t>
  </si>
  <si>
    <t>951 317 089</t>
  </si>
  <si>
    <t>Cambio de grifería y trampas en 50 baños de Torre Petit Thoaurs</t>
  </si>
  <si>
    <t>Para la mejora en la experiencia alumno y su impacto en NPS se requiere cambio de grifería trampas desagüe en 50 baños</t>
  </si>
  <si>
    <t>https://www,dropbox,com/scl/fi/2htg1gbdek9wr6e2g0y57/Iniciativas-mejora-2025,pptx?rlkey=ucwlfkeatbngte3u1q2nij5lp&amp;st=ukeg7lj8&amp;dl=0</t>
  </si>
  <si>
    <t>Ica (I)</t>
  </si>
  <si>
    <t>Huancayo | ÁREAS DE ESPARCIMIENTO</t>
  </si>
  <si>
    <t xml:space="preserve">56 </t>
  </si>
  <si>
    <t>UTP Lima Centro</t>
  </si>
  <si>
    <t>Huancayo | ZONA DE FOTOCOPIADO</t>
  </si>
  <si>
    <t>UTP PETIT THOU383-385-TORRE II - LIMA</t>
  </si>
  <si>
    <t>C</t>
  </si>
  <si>
    <t>SC-0000116432-2026 / SC-0000122792-2026</t>
  </si>
  <si>
    <t>OC-0000125881-2026 / OC-0000128442-2026</t>
  </si>
  <si>
    <t>07/04 / 30/04</t>
  </si>
  <si>
    <t>MEJ00184</t>
  </si>
  <si>
    <t>UTP_PTT383-385_Cambio_griferia_trampas _50 baños_Torre II</t>
  </si>
  <si>
    <t>SE ENVIÓ NR OC-0000125881-2026</t>
  </si>
  <si>
    <t>OPS_007</t>
  </si>
  <si>
    <t>Huancayo | CAFETERÍA CONCESIONARIO</t>
  </si>
  <si>
    <t>Cambio de línea de desague en Torre Petit Thoaurs</t>
  </si>
  <si>
    <t>Cambio de línea matriz de desagüe ambos montantes por constantes atoros, Antigüedad mayor a 20 años</t>
  </si>
  <si>
    <t>Arequipa – Tacna y Arica (I)</t>
  </si>
  <si>
    <t>Huancayo | CAFETERÍA CAMPUS</t>
  </si>
  <si>
    <t>SC-0000116816-2026</t>
  </si>
  <si>
    <t>OC-0000133232-2026</t>
  </si>
  <si>
    <t>MEJ00185</t>
  </si>
  <si>
    <t>UTP_PTT383-385_Cambio_línea desague_Torre II</t>
  </si>
  <si>
    <t>Presupuesto se amplia a 87 K</t>
  </si>
  <si>
    <t>Chimbote | ÁREAS DE ESPARCIMIENTO</t>
  </si>
  <si>
    <t>OPS_008</t>
  </si>
  <si>
    <t xml:space="preserve">Elmer Raul ILLANES PAUCAR </t>
  </si>
  <si>
    <t>eillanes@utp,edu,pe</t>
  </si>
  <si>
    <t>994 690 404</t>
  </si>
  <si>
    <t>Cambio de piso de biblioteca por porcelanato</t>
  </si>
  <si>
    <t>El piso actual presenta desgaste significativo del material debido al propio uso estando en muy mal estado por algunas zonasadiconal dicho material no ha sido reemplazado desde el 2018,</t>
  </si>
  <si>
    <t>PISO BIBLIOTECA</t>
  </si>
  <si>
    <t>UTP Lima Este</t>
  </si>
  <si>
    <t>Chimbote | ZONA DE FOTOCOPIADO</t>
  </si>
  <si>
    <t>UTP N,AYLLON KM11,60 LOTE 96ATE -LIMA</t>
  </si>
  <si>
    <t>LC – Pacífico (II)</t>
  </si>
  <si>
    <t>SC-0000116464-2026</t>
  </si>
  <si>
    <t>OC-0000121837-2026</t>
  </si>
  <si>
    <t>MEJ00186</t>
  </si>
  <si>
    <t>UTP_Ate KM11,60_Cambio_piso biblioteca_porcelanato</t>
  </si>
  <si>
    <t>Revisar con Finanzas</t>
  </si>
  <si>
    <t>Chimbote | CAFETERÍA CONCESIONARIO</t>
  </si>
  <si>
    <t>OPS_009</t>
  </si>
  <si>
    <t>10220111</t>
  </si>
  <si>
    <t>Chimbote | CAFETERÍA CAMPUS</t>
  </si>
  <si>
    <t>13/04/2026</t>
  </si>
  <si>
    <t>SC-0000116465-2026</t>
  </si>
  <si>
    <t>OC-0000123203-2026</t>
  </si>
  <si>
    <t>MEJ00187</t>
  </si>
  <si>
    <t>UTP_LN Mz Lote 28_Cambio_piso biblioteca_porcelanato</t>
  </si>
  <si>
    <t>OPS_010</t>
  </si>
  <si>
    <t>Gustavo Mallaupoma</t>
  </si>
  <si>
    <t>SJL (II)</t>
  </si>
  <si>
    <t>Chiclayo | ÁREAS DE ESPARCIMIENTO</t>
  </si>
  <si>
    <t>Cambio de piso laminado por porcelanato en el laboratorio de terapias física de Sede Central</t>
  </si>
  <si>
    <t>El piso instalado para el laboratorio de terapia física no es el adecuado al no ser óptimo para alto tránsito así mismo no está dentro del estándar de pisos instalados en otros campus, En la actualidad el piso se encuentra totalmente desgastado y genera una muy mala imagen para los estudiantes,</t>
  </si>
  <si>
    <t>https://drive,google,com/drive/folders/1P0EWUzgUa6s_t8Xe0GcagbXeceSvYmfn</t>
  </si>
  <si>
    <t xml:space="preserve">78 </t>
  </si>
  <si>
    <t>UTP PETITTHOURS 116 -  LIMA</t>
  </si>
  <si>
    <t>Chiclayo | ZONA DE FOTOCOPIADO</t>
  </si>
  <si>
    <t>SC-0000117935-2026</t>
  </si>
  <si>
    <t>OC-0000122833-2026</t>
  </si>
  <si>
    <t>MEJ00188</t>
  </si>
  <si>
    <t>UTP_PTT116_Cambio_piso laminado_porcelanato_laboratorio_terapias fisicas</t>
  </si>
  <si>
    <t>Conversar con Fredy</t>
  </si>
  <si>
    <t>OPS_011</t>
  </si>
  <si>
    <t>Cambio de porcelanatos en ambientes críticos con levantamientos/roturas diferente color en Torre Petit Thoaurs,</t>
  </si>
  <si>
    <t>Chiclayo | CAFETERÍA CONCESIONARIO</t>
  </si>
  <si>
    <t xml:space="preserve">El porcelanato de 44 ambientes académicos se encuentra levantados y/o rajados, Hay 21 ambientes críticos que se localizan entre el piso 7 y 14,Se adjunta excel en link con el detalle </t>
  </si>
  <si>
    <t>Porcelanatos TORRE2</t>
  </si>
  <si>
    <t>30/03/2026</t>
  </si>
  <si>
    <t>Arequipa – Parra 2 (II)</t>
  </si>
  <si>
    <t>Ate | ÁREAS DE ESPARCIMIENTO</t>
  </si>
  <si>
    <t>SC-0000116467-2026</t>
  </si>
  <si>
    <t>OC-0000124295-2026</t>
  </si>
  <si>
    <t>MEJ00189</t>
  </si>
  <si>
    <t xml:space="preserve">54 </t>
  </si>
  <si>
    <t>UTP_PTT383-385_Cambio_porcelanatos_ambientes criticos</t>
  </si>
  <si>
    <t>OPS_012</t>
  </si>
  <si>
    <t xml:space="preserve">Cambio del techo del comedor </t>
  </si>
  <si>
    <t>Techo del comedor está en mal estado la limpieza no es suficiente las planchas de policarbonato están descoloridas, Estéticamente impacta en la imagen del Campus se ve mal</t>
  </si>
  <si>
    <t>TECHO COMEDOR ATE</t>
  </si>
  <si>
    <t>Ate | ZONA DE FOTOCOPIADO</t>
  </si>
  <si>
    <t>SC-0000116469-2026</t>
  </si>
  <si>
    <t>Ate | CAFETERÍA CONCESIONARIO</t>
  </si>
  <si>
    <t>OC-0000124831-2026</t>
  </si>
  <si>
    <t>MEJ00190</t>
  </si>
  <si>
    <t xml:space="preserve">UTP_Ate KM11,60_Cambio_techo_comedor </t>
  </si>
  <si>
    <t>OPS_013</t>
  </si>
  <si>
    <t>Trujillo (II)</t>
  </si>
  <si>
    <t>Cambio sistema de bombeo de presión constante torre A</t>
  </si>
  <si>
    <t xml:space="preserve">Sistema de bombeo de agua de torre A tiene mas de 7 años de antigüedad se tiene con frecuencia caidas de presión y deja sin agua a torre A los tableros de control no permite el funcionamiento de 02 bombas a la vez para aliviar la presión, Son dos bombas por Us 12k </t>
  </si>
  <si>
    <t>Arequipa Tacna y Arica | ÁREAS DE ESPARCIMIENTO</t>
  </si>
  <si>
    <t>UTP Lima Sur</t>
  </si>
  <si>
    <t xml:space="preserve">30 </t>
  </si>
  <si>
    <t>UTP EL TRIUNFO S/N-VILLA SALVA - LIMA</t>
  </si>
  <si>
    <t>Jun-26</t>
  </si>
  <si>
    <t>SC-0000116814-2026</t>
  </si>
  <si>
    <t>OC-0000123018-2026</t>
  </si>
  <si>
    <t>Arequipa Tacna y Arica | ZONA DE FOTOCOPIADO</t>
  </si>
  <si>
    <t>MEJ00191</t>
  </si>
  <si>
    <t>UTP_VES_Cambio_sistema_bombeo presion constante_torre A</t>
  </si>
  <si>
    <t>OPS_014</t>
  </si>
  <si>
    <t>Construcción de Caseta de Vigilancia</t>
  </si>
  <si>
    <t>Actualmente no contamos con caseta y el ecritorio en "L" se encuentra expuesto y a riesgo de extravío de llaves y DNI</t>
  </si>
  <si>
    <t>https://www,dropbox,com/scl/fi/eba9a8xdt27v27lynl3yp/espacio-de-vigilantes-en-sede-sin-caseta,jpg?rlkey=h8ytg6opg0ibyf17t4laksicw&amp;st=thdy8ie3&amp;dl=0</t>
  </si>
  <si>
    <t>Arequipa Tacna y Arica | CAFETERÍA CONCESIONARIO</t>
  </si>
  <si>
    <t>OK a evaluar presupuesto insuficiente</t>
  </si>
  <si>
    <t>UTP Ica</t>
  </si>
  <si>
    <t>UTP SUB EUB-5 SAN JOSE - ICA</t>
  </si>
  <si>
    <t>Arequipa Tacna y Arica | CAFETERÍA CAMPUS</t>
  </si>
  <si>
    <t>Lima Norte (II) – Pendiente</t>
  </si>
  <si>
    <t xml:space="preserve">88 </t>
  </si>
  <si>
    <t>OPS_015</t>
  </si>
  <si>
    <t>CARLA CELI</t>
  </si>
  <si>
    <t>Depósito y estantería para SSUU (en esquina zona deportiva)</t>
  </si>
  <si>
    <t>Arequipa Parra I | ÁREAS DE ESPARCIMIENTO</t>
  </si>
  <si>
    <t xml:space="preserve">55 </t>
  </si>
  <si>
    <t>Arequipa Parra I | ZONA DE FOTOCOPIADO</t>
  </si>
  <si>
    <t>OPS_016</t>
  </si>
  <si>
    <t>Luis García</t>
  </si>
  <si>
    <t>Equipo de AA para cuarto de servidores torre A</t>
  </si>
  <si>
    <t>Climatización del cuarto de servidores de la torre A área crítica por contar con equipos de comunicación operativos 24/7</t>
  </si>
  <si>
    <t>https://www,dropbox,com/scl/fi/wnlt33yfldc6wo0joscax/Data_CIX,png?rlkey=fmvsqv89rz8up9ygn2qdp9f6x&amp;st=5qsbjec3&amp;dl=0</t>
  </si>
  <si>
    <t>Arequipa Parra I | CAFETERÍA CONCESIONARIO</t>
  </si>
  <si>
    <t>Chiclayo (II)</t>
  </si>
  <si>
    <t>Arequipa Parra I | CAFETERÍA CAMPUS</t>
  </si>
  <si>
    <t>Oct-26</t>
  </si>
  <si>
    <t>UTP Chiclayo</t>
  </si>
  <si>
    <t>Arequipa Parra 2 | ÁREAS DE ESPARCIMIENTO</t>
  </si>
  <si>
    <t>UTP AV, PROGRESO CON AV, EVITAMIENTO S/N  - CHICLAYO</t>
  </si>
  <si>
    <t>ESTADO</t>
  </si>
  <si>
    <t>SC-0000116471-2026</t>
  </si>
  <si>
    <t>SC DEVUELTA</t>
  </si>
  <si>
    <t>PROY1379</t>
  </si>
  <si>
    <t>(Todas)</t>
  </si>
  <si>
    <t>UTP_Chiclayo_Equipo AA_cuarto_servidores torre A</t>
  </si>
  <si>
    <t>ATE (II)</t>
  </si>
  <si>
    <t>Arequipa Parra 2 | CAFETERÍA CONCESIONARIO</t>
  </si>
  <si>
    <t>Solicitud devuelta responsable no confirma obs de planos</t>
  </si>
  <si>
    <t>OPS_017</t>
  </si>
  <si>
    <t xml:space="preserve">Habilitar puntos de agua para sardinel </t>
  </si>
  <si>
    <t>En convenio con la municipalidad el área de sardinel fue cedida para mantenimiento actualmente al no tener punto de agua no se puede realizar, Se evidencia en el video la actual condición,</t>
  </si>
  <si>
    <t>Puntos de agua,mp4</t>
  </si>
  <si>
    <t>Meses (FECHA FIN PLANIFICADA)</t>
  </si>
  <si>
    <t>SC-0000116786-2026</t>
  </si>
  <si>
    <t>OC-0000122376-2026</t>
  </si>
  <si>
    <t>Pucallpa (III)</t>
  </si>
  <si>
    <t>PROY1380</t>
  </si>
  <si>
    <t xml:space="preserve">UTP_Chimbote_Habilitar_puntos agua_sardinel </t>
  </si>
  <si>
    <t>OPS_018</t>
  </si>
  <si>
    <t>Katherine Polo</t>
  </si>
  <si>
    <t>Iluminación del nombre de la Universidad</t>
  </si>
  <si>
    <t>FOTOS NOMBRE LOGOS UTP</t>
  </si>
  <si>
    <t xml:space="preserve">                    -  </t>
  </si>
  <si>
    <t>CANCELADO</t>
  </si>
  <si>
    <t>Nov-26</t>
  </si>
  <si>
    <t>OPS_019</t>
  </si>
  <si>
    <t>OPS_020</t>
  </si>
  <si>
    <t>Iquitos (III)</t>
  </si>
  <si>
    <t>UTP AREQUIPA 660- 670 - LIMA</t>
  </si>
  <si>
    <t>Pendiente en consulta</t>
  </si>
  <si>
    <t>OPS_021</t>
  </si>
  <si>
    <t>Las letras negras "Universidad Tecnológica del Perú" sin iluminación pasan desapercibidas en la noche, En SJL ATE si están iluminadas</t>
  </si>
  <si>
    <t>OK para evaluar poner iluminación con reflectores</t>
  </si>
  <si>
    <t>Chimbote (III)</t>
  </si>
  <si>
    <t>OPS_022</t>
  </si>
  <si>
    <t>Impermeabilización de los pisos de todos los baños de la torre</t>
  </si>
  <si>
    <t xml:space="preserve">Existen filtraciones de agua hacia pisos inferiores en los SSHH del campus cuando se ejecuta la limpieza de los mismos por parte de Limtek, Esto genera daño a las baldosas lo cual implica estar cambiandolas constantemente, </t>
  </si>
  <si>
    <t>https://www,dropbox,com/scl/fi/ji89dac31y2yls6rsyl4m/Huancayo_Mejoras,pptx?rlkey=sdwbvs1liw2b8mgovq0bq8nn5&amp;st=q1lvojps&amp;dl=0</t>
  </si>
  <si>
    <t>UTP Huancayo</t>
  </si>
  <si>
    <t>UTP AV,CIRCUNVALACIÓN 449 - HUANCAYO</t>
  </si>
  <si>
    <t>SC-0000118739-2026</t>
  </si>
  <si>
    <t>OC-0000123888-2026</t>
  </si>
  <si>
    <t>MEJ00192</t>
  </si>
  <si>
    <t>UTP_Hcyo_Impermeabilizacion _pisos_baños_torre</t>
  </si>
  <si>
    <t>Resto de campus (IV)</t>
  </si>
  <si>
    <t>OPS_023</t>
  </si>
  <si>
    <t>Ricardo Jacobo</t>
  </si>
  <si>
    <t xml:space="preserve">Impermeabilización y revestimiento de azotea </t>
  </si>
  <si>
    <t xml:space="preserve">Para evitar las filtraciones es necesario contar con una impermeabilización de toda la azotea completa, No tiene impermeabilización  y presenta filtraciones constantes , En el  Bloque C han parchado por zonas puntuales cuando han habido filtraciones </t>
  </si>
  <si>
    <t>Se modificó monto de 160K a 140K</t>
  </si>
  <si>
    <t xml:space="preserve">Revisar cambiar de monto </t>
  </si>
  <si>
    <t>OPS_024</t>
  </si>
  <si>
    <t>Eloy Pocohuanca/Carlos S,</t>
  </si>
  <si>
    <t>Implemenrar área libre  para alumnos en el  sum del piso 15 Torre 2, Local no tiene áreas libres para alumnos</t>
  </si>
  <si>
    <t xml:space="preserve">Propuesta de retirar la tabiquería y puerta del SUM del piso 15 para poder ganar espacio para aumentar dos mesas más adicionales al ambiente, Tamaño final 45,6 m2, El uso del ambiente es intensivo y es uno de los pocos ambientes con los que los alumnos cuentan para avanzar sus trabajos con laptop y en horario de refrigerio para poder almorzar, Adicionalmente incluye la renovación de 8 mesas y 32 sillas más compra de 2 mesas y 8 sillas, </t>
  </si>
  <si>
    <t>https://www,dropbox,com/scl/fo/045w1pv87upfjolydrkn3/APvbKb6m3Z9c9rvOZuyvhSI?rlkey=flxw6v94kr6egfxz6leroshzj&amp;st=fps3xzwp&amp;dl=0</t>
  </si>
  <si>
    <t>SC-0000143394-2026</t>
  </si>
  <si>
    <t>PROY1381</t>
  </si>
  <si>
    <t>UTP_PTT_383-385_Implementar_area libre_alumnos_piso 15 Torre 2</t>
  </si>
  <si>
    <t>Conversar con Jossi coordina Julio</t>
  </si>
  <si>
    <t>OPS_025</t>
  </si>
  <si>
    <t>Implementación de almacén en azotea</t>
  </si>
  <si>
    <t>OK a evaluar se debe tener en cuanta trámite de conformidad d eobra en curso</t>
  </si>
  <si>
    <t>OPS_026</t>
  </si>
  <si>
    <t>Implementación de depósito adicional</t>
  </si>
  <si>
    <t>No contamos con espacio suficiente para el almacenamiento de diversos materiales activos y demás objetos los cuales son de uso continuo en sede lo que nos obliga a guardarlos en espacios no adecuados, Lo cual a la vista de la comunidad universitaria e instituciones reguladoras serian altamente e inclusi motivo de sanción, Se propone la utilización de dos espacios para vehículos del estacionamiento del semisótano para esta nueva implementación ya que actualmente contamos espacios en el patio los cuales pueden servir para suplir la necesidad generada de espacios para el estacionamiento,</t>
  </si>
  <si>
    <t>OPS_027</t>
  </si>
  <si>
    <t>Implementación de puntos eléctricos en el patio</t>
  </si>
  <si>
    <t>En sede no contamos con espacios amplios para el desarrollo de eventos muchos de ellos se han realizado en el patio como el taller de danzas aniversario de la sede feria de emprendimiento entre otras, Estas actividades demandan contar con puntos eléctricos para que los equipos funcionen y se realice las actividades convenientemente,</t>
  </si>
  <si>
    <t>Fotos para mejoras 1,pptx</t>
  </si>
  <si>
    <t>SC-0000118740-2026</t>
  </si>
  <si>
    <t>OC-0000123883-2026</t>
  </si>
  <si>
    <t>MEJ00193</t>
  </si>
  <si>
    <t>UTP_Hcyo_Implementacion_puntos electricos_patio</t>
  </si>
  <si>
    <t>OPS_028</t>
  </si>
  <si>
    <t>Implementación de sumideros en el laboratorio de procesos industriales</t>
  </si>
  <si>
    <t>Implementar cuatro sumideros adicionales en el piso del laboratorio, Cuando se realiza la limpieza de equipos el agua se queda acumulada debajo de estas y la limpieza del ambiente demora, La limpiea toma mas tiempo del previsto para el asistente del laboratorio, Asi mismo; el riesgo accidentes por el piso que se vuelve resbaloso</t>
  </si>
  <si>
    <t>SC-0000118741-2026</t>
  </si>
  <si>
    <t>OC-0000123225-2026</t>
  </si>
  <si>
    <t>MEJ00194</t>
  </si>
  <si>
    <t>UTP_Hcyo_Implementacion_sumideros_laboratorio</t>
  </si>
  <si>
    <t>OPS_029</t>
  </si>
  <si>
    <t>Eloy / Raul</t>
  </si>
  <si>
    <t xml:space="preserve">Implementación de tomacorrientes para mesas de salas de estudio  en biblioteca </t>
  </si>
  <si>
    <t>Suminstro e instalación de 48 puntos de energia</t>
  </si>
  <si>
    <t>Tacna y Arica – Mesas biblioteca,pdf</t>
  </si>
  <si>
    <t>UTP Arequipa</t>
  </si>
  <si>
    <t>UTP TACNA-ARICA 158-160-162 - AREQUIPA</t>
  </si>
  <si>
    <t>Proyectos Ops / Mantenimiento</t>
  </si>
  <si>
    <t>SC-0000118273-2026</t>
  </si>
  <si>
    <t>MEJ00195</t>
  </si>
  <si>
    <t xml:space="preserve">UTP_Arq  158-160_Implementacion_tomacorrientes_mesas_biblioteca </t>
  </si>
  <si>
    <t>SC devuelta a la espera de nuevo alcance</t>
  </si>
  <si>
    <t>ELOY</t>
  </si>
  <si>
    <t>OPS_030</t>
  </si>
  <si>
    <t>Renovación de mobiliario con integración de puntos eléctricos retráctiles en mesas de trabajo (sala lectura 01) y el sala lectura 2 se mantiene el mobiliario</t>
  </si>
  <si>
    <t>https://utpedupe,sharepoint,com/:f:/s/OperacionesCIX/EuVMG6DEAQZNp7fh5H-BPcIBEBuJg4Cyzmy5w2K40DH5-g?e=sAAUob</t>
  </si>
  <si>
    <t>SC-0000137984-2026</t>
  </si>
  <si>
    <t>OC-0000142670-2026</t>
  </si>
  <si>
    <t>MEJ00196</t>
  </si>
  <si>
    <t xml:space="preserve">UTP_Chiclayo_Implementacion_tomacorrientes_mesas_biblioteca </t>
  </si>
  <si>
    <t xml:space="preserve">Se canceló OC-0000124398-2026  por nuevo alcance/ OC-0000142670-2026 nr </t>
  </si>
  <si>
    <t>OPS_031</t>
  </si>
  <si>
    <t>Se adjunta cotización para energizar 10 mesas con toma eléctrica doble (20 puntos de energía)</t>
  </si>
  <si>
    <t>ESTADOS</t>
  </si>
  <si>
    <t>https://utpedupe-my,sharepoint,com/:i:/g/personal/etirado_utp_edu_pe/Eb8rAbMwJuBHi885UHeD0T0BSpgRhLu8HVJCDLvxjOF6IA?e=QkVs4N</t>
  </si>
  <si>
    <t>MESES</t>
  </si>
  <si>
    <t>SC-0000118552-2026</t>
  </si>
  <si>
    <t>OC-0000124582-2026</t>
  </si>
  <si>
    <t>MEJ00197</t>
  </si>
  <si>
    <t xml:space="preserve">UTP_Chimbote_Implementacion_tomacorrientes_mesas_biblioteca </t>
  </si>
  <si>
    <t>Pendiente de NR</t>
  </si>
  <si>
    <t>OPS_032</t>
  </si>
  <si>
    <t>Se cuenta con una parte de las mesas con puntos de energía dento de biblioteca y se mapearon un total de 52 puntos de energía faltantes por lo cual se requiere la energización en 20 puntos para mesas en la sala de lectura y 32 puntos para mesas en la sala de estudio, El costo es referencial en base a la instalación previa de 9 puntos de energía en uno de los laboratorios del campus,</t>
  </si>
  <si>
    <t>INSTALACIÓN DE PUNTOS DE ENERGIA EN BIBLIOTECA</t>
  </si>
  <si>
    <t>Corporativo - Natalio</t>
  </si>
  <si>
    <t>UTP Iquitos</t>
  </si>
  <si>
    <t>SC-0000117917-2026</t>
  </si>
  <si>
    <t>UTP Pucallpa</t>
  </si>
  <si>
    <t>OC-0000124862-2026</t>
  </si>
  <si>
    <t>MEJ00198</t>
  </si>
  <si>
    <t xml:space="preserve">UTP_Hcyo_Implementacion_tomacorrientes_mesas_biblioteca </t>
  </si>
  <si>
    <t>UTP Tacna</t>
  </si>
  <si>
    <t>UTP EPG Salaverry</t>
  </si>
  <si>
    <t>OPS_033</t>
  </si>
  <si>
    <t>Se requiere instalar 42 puntos electricos para biblioteca,</t>
  </si>
  <si>
    <t>https://utpedupe-my,sharepoint,com/personal/hleon_utp_edu_pe/_layouts/15/onedrive,aspx?id=%2Fpersonal%2Fhleon%5Futp%5Fedu%5Fpe%2FDocuments%2FUTP%2FAREA%20OPERACIONES%20%2D%20COMPARTIDO%2FCAPEX%20ADICIONALES%202026%2FEnergizar%20mesas%20de%20Biblioteca&amp;viewid=dc302f51%2D364c%2D45d8%2Db630%2D7c45cef7440a&amp;ga=1</t>
  </si>
  <si>
    <t>SC-0000117916-2026</t>
  </si>
  <si>
    <t>OC-0000124429-2026</t>
  </si>
  <si>
    <t>MEJ00199</t>
  </si>
  <si>
    <t xml:space="preserve">UTP_Ica_Implementacion_tomacorrientes_mesas_biblioteca </t>
  </si>
  <si>
    <t>Logistica cambió codigo de proyecto a Generico, a solicitud de contabilidad</t>
  </si>
  <si>
    <t>OPS_034</t>
  </si>
  <si>
    <t>Se requiere habilitación de puntos eléctricos para 9 mesas, Se puede manejar internamente con área de mantenimiento,</t>
  </si>
  <si>
    <t>https://utpedupe-my,sharepoint,com/:f:/g/personal/grubio_utp_edu_pe/Emjzi9UGTElEiur-35Qm26UBtzTIdw9dPmfcLFeHzKzheg?e=MUMhXJ</t>
  </si>
  <si>
    <t>SC-0000118063-2026</t>
  </si>
  <si>
    <t xml:space="preserve"> OC-0000123121-2026</t>
  </si>
  <si>
    <t>MEJ00200</t>
  </si>
  <si>
    <t xml:space="preserve">UTP_Piura_Implementacion_tomacorrientes_mesas_biblioteca </t>
  </si>
  <si>
    <t>OPS_035</t>
  </si>
  <si>
    <t>Habilitación de puntos eléctricos para mesas de biblioteca 33 puntos</t>
  </si>
  <si>
    <t>Mesa de Estudios electrificada</t>
  </si>
  <si>
    <t>SC-0000117919-2026</t>
  </si>
  <si>
    <t>OC-0000127316-2026</t>
  </si>
  <si>
    <t>MEJ00201</t>
  </si>
  <si>
    <t xml:space="preserve">UTP_Trujillo_Implementacion_tomacorrientes_mesas_biblioteca </t>
  </si>
  <si>
    <t>OPS_036</t>
  </si>
  <si>
    <t>Implementación de tomacorrientes para mesas de salas de estudio  en biblioteca (ATE LS LN TTAPACIFICO)</t>
  </si>
  <si>
    <t>Tomacorrientes Salas Estudio</t>
  </si>
  <si>
    <t>MEJ00202</t>
  </si>
  <si>
    <t xml:space="preserve">UTP_Ate KM 11,60_Implementacion_tomacorrientes_mesas_biblioteca </t>
  </si>
  <si>
    <t>Encargado solicita anulacion de SC-0000117924-2026 (SE ATENDIÓ CON LA OC-0000121837-2026)</t>
  </si>
  <si>
    <t>OPS_037</t>
  </si>
  <si>
    <t>SC-0000117929-2026</t>
  </si>
  <si>
    <t>OC-0000124180-2026</t>
  </si>
  <si>
    <t>MEJ00203</t>
  </si>
  <si>
    <t xml:space="preserve">UTP_VES_Implementacion_tomacorrientes_mesas_biblioteca </t>
  </si>
  <si>
    <t>OPS_038</t>
  </si>
  <si>
    <t>MEJ00204</t>
  </si>
  <si>
    <t xml:space="preserve">UTP_LN MZ 2E Lote 28_Implementacion_tomacorrientes_mesas_biblioteca </t>
  </si>
  <si>
    <t>Reunir con los involucrados</t>
  </si>
  <si>
    <t>OPS_039</t>
  </si>
  <si>
    <t>UTP AV, AREQUIPA 265-279 - LIMA</t>
  </si>
  <si>
    <t>SC-0000120469-2026</t>
  </si>
  <si>
    <t>OC-0000126973-2026</t>
  </si>
  <si>
    <t>MEJ00205</t>
  </si>
  <si>
    <t xml:space="preserve">UTP_Arq265-279_Implementacion_tomacorrientes_mesas_biblioteca </t>
  </si>
  <si>
    <t>OPS_040</t>
  </si>
  <si>
    <t xml:space="preserve">Actualmente los alumnos necesitan enchufes para sus laptops en las salas de estudio, Desenchufan las computadores de bilbioteca y colocan extensiones para el uso de sus laptops, Esto es un riesgo e impide la evacuación en caso de sismos o algún peligro, San Juan ya tiene </t>
  </si>
  <si>
    <t>SC-0000119824-2026</t>
  </si>
  <si>
    <t xml:space="preserve">OC-0000124005-2026 </t>
  </si>
  <si>
    <t>MEJ00206</t>
  </si>
  <si>
    <t xml:space="preserve">UTP_Arq660-670_Implementacion_tomacorrientes_mesas_biblioteca </t>
  </si>
  <si>
    <t>OPS_041</t>
  </si>
  <si>
    <t>Marcia Lizárraga</t>
  </si>
  <si>
    <t>Implementación de tres muebles para guardar mochilas</t>
  </si>
  <si>
    <t>Se requiere la adquisición de tres mochileros para los laboratorios de fluidos y turbomáquinas elasticidad y resistencia  de materiales y arquitectura de computadoras debido a que los estudiantes no tienen donde colocar sus mochilas motivo por el cual lo dejan en el piso obstaculizando asi las salidas</t>
  </si>
  <si>
    <t>SC-0000115857-2026</t>
  </si>
  <si>
    <t>OC-0000123917-2026</t>
  </si>
  <si>
    <t>AM001196</t>
  </si>
  <si>
    <t>UTP_Hcyo_Implementacion_muebles_guardar mochilas</t>
  </si>
  <si>
    <t>OPS_042</t>
  </si>
  <si>
    <t>Freddy Valderrama</t>
  </si>
  <si>
    <t xml:space="preserve">Implementar aire acondicionado SAE TyA </t>
  </si>
  <si>
    <t>Implementar sistema de aire acondicionado</t>
  </si>
  <si>
    <t>25,TyA - Aire acondicionado SAE,mp4</t>
  </si>
  <si>
    <t>OK a evaluar contra carga eléctrica disponible</t>
  </si>
  <si>
    <t>OPS_043</t>
  </si>
  <si>
    <t>Implementar aire acondicionado, CAD - Parra 1</t>
  </si>
  <si>
    <t>UTP PARRA 201-203 -  AREQUIPA</t>
  </si>
  <si>
    <t>OPS_044</t>
  </si>
  <si>
    <t>Implementar aire acondicionado, CAD - Taca y Arica</t>
  </si>
  <si>
    <t>OPS_045</t>
  </si>
  <si>
    <t xml:space="preserve">Implementar área libre para alumnos en el piso 3 de Torre Petit Thouars,Local no tiene áreas libres para alumnos </t>
  </si>
  <si>
    <t>Reemplazar el deposito (ex isla de post producción) del piso 3 por la implemnetación de area común,</t>
  </si>
  <si>
    <t>https://www,dropbox,com/scl/fo/iyqy9pj6dts10n3czpo2v/ANjKal-i5QRmzaXzwUAebb8?rlkey=9u7gfkw3ftyy7jiffcui4asfv&amp;st=s6mkblnw&amp;dl=0</t>
  </si>
  <si>
    <t>SC-0000137449-2026</t>
  </si>
  <si>
    <t>OC-0000142547-2026</t>
  </si>
  <si>
    <t>PROY1382</t>
  </si>
  <si>
    <t>UTP_PTT383-385_Implementar_area libre_alumnos_piso 3 Torre II</t>
  </si>
  <si>
    <t>Conversar con Jossi/ OC-0000142547-2026 TIENE NR/</t>
  </si>
  <si>
    <t>OPS_046</t>
  </si>
  <si>
    <t xml:space="preserve">CESAR JUNIOR LLERENA AMESQUITA / Elmer Raul ILLANES PAUCAR </t>
  </si>
  <si>
    <t>cllerena@utp,edu,pe / eillanes@utp,edu,pe</t>
  </si>
  <si>
    <t xml:space="preserve"> 979 717 991 / 994 690 404</t>
  </si>
  <si>
    <t>Implementar bebedero adicional (1) Parra 2</t>
  </si>
  <si>
    <t xml:space="preserve">Habilitar punto de agua para bebedero en Piso 1 </t>
  </si>
  <si>
    <t>07,Parra 2 - Bebedero,mp4</t>
  </si>
  <si>
    <t>UTP PARRA WASHINGT 217-219 AREQUIPA</t>
  </si>
  <si>
    <t>Campus / Mantenimiento</t>
  </si>
  <si>
    <t>SC-0000116523-2026</t>
  </si>
  <si>
    <t>OC-0000125153-2026</t>
  </si>
  <si>
    <t>AM001197</t>
  </si>
  <si>
    <t>UTP_Tacna Parra_Implementar_bebedero</t>
  </si>
  <si>
    <t xml:space="preserve"> SC-0000119664-2026 cancelada</t>
  </si>
  <si>
    <t>OPS_047</t>
  </si>
  <si>
    <t>Paola Revilla</t>
  </si>
  <si>
    <t>IMPLEMENTAR BEBEDEROS ADICIONALES (2)</t>
  </si>
  <si>
    <t>IMPLEMENTAR 3 BEBEDEROS CON DISPENSADOR ADICIONALES EN CADA TORRE, Actual hay 4 2 en cada torre 
TORRE A PISOS 4 6 Y AZOTEA,
TORRE B PISOS 4 6 Y PATIO POSTERIOR
PERMITE MEJORAR EL BIENESTAR DE LOS ESTUDIANTES,</t>
  </si>
  <si>
    <t>https://www,dropbox,com/scl/fo/cw5j6yx36j8ewdfsf8jm3/AMBbmgBy5gExys4L1xTXwyA?rlkey=mcloivayf24t39et30me9z5os&amp;dl=0</t>
  </si>
  <si>
    <t>SC-0000115982-2026</t>
  </si>
  <si>
    <t>OC-0000126066-2026</t>
  </si>
  <si>
    <t>AM001198</t>
  </si>
  <si>
    <t>UTP_SJL_Implementar_bebederos</t>
  </si>
  <si>
    <t>Consultar con Campus solicitar # de solicitud</t>
  </si>
  <si>
    <t>OPS_048</t>
  </si>
  <si>
    <t>Giovanni Ricaza</t>
  </si>
  <si>
    <t xml:space="preserve">Implementar bebederos en pisos 3 7 y 10 en sede Pacifico </t>
  </si>
  <si>
    <t>Impacto positivo en servicio al alumno ya que la sede no cuenta con bebederos estándares como las otras sedes</t>
  </si>
  <si>
    <t>Bebederos en piso 1 3 y 9</t>
  </si>
  <si>
    <t>SC-0000115953-2026</t>
  </si>
  <si>
    <t>OC-0000122652-2026</t>
  </si>
  <si>
    <t>AM001199</t>
  </si>
  <si>
    <t>UTP_Arq660-670_Implementar_bebederos_pisos 37 y 10</t>
  </si>
  <si>
    <t>OPS_049</t>
  </si>
  <si>
    <t>Implementar tomas eléctricas en la azotea Torre A</t>
  </si>
  <si>
    <t>fecha_inicio_texto</t>
  </si>
  <si>
    <t>IMPLEMENTAR TOMAS ELÉCTRICAS DE ENERGIA EN LAS BAJANTES DE LOS TECHOS YA IMPLEMENTADOS 
ADICIONAL IMPLEMENTAR PUNTOS ELÉCTRICOS Y  REPISAS FLOTANTES EN LAS COLUMNAS CILINDRICAS ESTRUCTURALES 
AMBAS INSTALACIONES PERMITEN PROVEER A LOS ALUMNOS,CON PUNTOS DE RECARGA DE APARATOS ELECTRÓNICOS</t>
  </si>
  <si>
    <t>https://www,dropbox,com/scl/fo/l0mm27m8nkjtmmc701rmj/APmOzac_jSv1DPLKjmuWBAQ?rlkey=spq9ps3s4j39iyu6zvxh5jkgr&amp;dl=0</t>
  </si>
  <si>
    <t>fecha_fin_texto</t>
  </si>
  <si>
    <t>menor_01_03_2026</t>
  </si>
  <si>
    <t>SC-0000116817-2026</t>
  </si>
  <si>
    <t xml:space="preserve"> OC-0000123956-2026</t>
  </si>
  <si>
    <t>MEJ00207</t>
  </si>
  <si>
    <t>UTP_SJL_Implementar_tomas electricas_azotea Torre A</t>
  </si>
  <si>
    <t>mar</t>
  </si>
  <si>
    <t>NR OC-0000123956-2026 enviada, falta nuevos alcances para culminar</t>
  </si>
  <si>
    <t>OPS_050</t>
  </si>
  <si>
    <t>Instalación de extractores en baños damas varones y discapacitados en Torre Petit Thoaurs</t>
  </si>
  <si>
    <t>abr</t>
  </si>
  <si>
    <t>Solo hay extractores en baños varones del piso 1 al 5, Se necesita instalar del 1 al 15 en baño damas y discapacitados y baño de varones del piso 6 al 15, Debido a malos olores en los 40 baños</t>
  </si>
  <si>
    <t>may</t>
  </si>
  <si>
    <t>jun</t>
  </si>
  <si>
    <t>SC-0000116822-2026</t>
  </si>
  <si>
    <t>AM001200</t>
  </si>
  <si>
    <t>UTP_PTT383-385_Instalacion_extractores_SSHH</t>
  </si>
  <si>
    <t>jul</t>
  </si>
  <si>
    <t>SC DEVUELTA POR REDIFINIR NUEVO ALCANCE TECNICO</t>
  </si>
  <si>
    <t>OPS_051</t>
  </si>
  <si>
    <t>la implementación de equipos de HVAC en los cuartos de data center del piso 6 y piso 8</t>
  </si>
  <si>
    <t>ago</t>
  </si>
  <si>
    <t xml:space="preserve">SOLICITADO POR ELIDA </t>
  </si>
  <si>
    <t>set</t>
  </si>
  <si>
    <t>oct</t>
  </si>
  <si>
    <t>nov</t>
  </si>
  <si>
    <t>dic</t>
  </si>
  <si>
    <t>total</t>
  </si>
  <si>
    <t>SC-0000116474-2026</t>
  </si>
  <si>
    <t>OC-0000133497-2026</t>
  </si>
  <si>
    <t>PROY1383</t>
  </si>
  <si>
    <t>UTP_LN MZ 2E Lote 28_Implementacion_equipos HVAC_cuartos data enter_piso 6 y piso 8</t>
  </si>
  <si>
    <t>OC-0000133497-2026 TIENE NR/</t>
  </si>
  <si>
    <t>OPS_052</t>
  </si>
  <si>
    <t>Mejorar Iluminación en el perímetro de Sede Central (28 de julio y Petit Thouars) y en LN (frontis posterior)</t>
  </si>
  <si>
    <t>ILUMINACION PERIMETRO 2026</t>
  </si>
  <si>
    <t>SC-0000116624-2026</t>
  </si>
  <si>
    <t>OC-0000122223-2026</t>
  </si>
  <si>
    <t>MEJ00208</t>
  </si>
  <si>
    <t>UTP_PTT116_Mejorar Iluminacion en el perimetro de Sede Central (28 de julio y Petit Thouars) y en LN (frontis posterior)</t>
  </si>
  <si>
    <t>OPS_053</t>
  </si>
  <si>
    <t>Se requiere iluminación perimetral en Sede Central  por el lado de 28 de Julio y Petit Thouars, Y alumbrar el lado derecho del frontis de LN en el cerco perimetral y parte posterior de la sede</t>
  </si>
  <si>
    <t>SC-0000116634-2026</t>
  </si>
  <si>
    <t>OC-0000138271-2026</t>
  </si>
  <si>
    <t>MEJ00209</t>
  </si>
  <si>
    <t>UTP_LN_MZ 2E Lote 28_Mejorar Iluminacion en el perimetro de Sede Central (28 de julio y Petit Thouars) y en LN (frontis posterior)</t>
  </si>
  <si>
    <t>SC EN APROBACION</t>
  </si>
  <si>
    <t>OPS_054</t>
  </si>
  <si>
    <t>Parra 1  - Patio San Isidro - Elevador para discapacitados</t>
  </si>
  <si>
    <t>Plataforma para que discapacitados tengan acceso al patio San Isidro</t>
  </si>
  <si>
    <t>15,Parra 1 - Patio San Isidro - Elevador para discapacitados,mp4</t>
  </si>
  <si>
    <t>OK para evaluar en función a la evacuación</t>
  </si>
  <si>
    <t>OPS_055</t>
  </si>
  <si>
    <t>Parra 1 - Estacionamientos - 02 puntos de agua</t>
  </si>
  <si>
    <t>Habilibitar 1 punto de agua en estacionamientos de sótano 3 y 1 punto de agua en sótano 4</t>
  </si>
  <si>
    <t>08,Parra 2 - Estacionamientos - 02 puntos de agua,mp4</t>
  </si>
  <si>
    <t>SC-0000118387-2026</t>
  </si>
  <si>
    <t>OC-0000128327-2026</t>
  </si>
  <si>
    <t>MEJ00210</t>
  </si>
  <si>
    <t>UTP_Parra 2 _Estacionamientos_02 puntos de agua</t>
  </si>
  <si>
    <t>OPS_056</t>
  </si>
  <si>
    <t xml:space="preserve">Proyecto de estandarización de cafeterías </t>
  </si>
  <si>
    <t>SC-0000126648-2026 / SC-0000126650-2026/SC-0000140266-2026</t>
  </si>
  <si>
    <t>OC-0000133495-2026 / OC-0000135467-2026/ OC-0000142569-2026</t>
  </si>
  <si>
    <t>04/06 / 15/06 04/08</t>
  </si>
  <si>
    <t>PROY1384</t>
  </si>
  <si>
    <t xml:space="preserve">UTP_Hcyo_Proyecto_estandarizacion_cafeterias </t>
  </si>
  <si>
    <t>SC-0000126650-2026 (GENERICO) / NR OC-0000133495-2026 enviado/NR ENVIADA OC-0000142569-2026/OC-0000135467-2026 NR ENVIADA</t>
  </si>
  <si>
    <t>OPS_057</t>
  </si>
  <si>
    <t>SC-0000126648-2026 / SC-0000126649-2026 / SC-0000126650-2026 / SC-0000140260-2026</t>
  </si>
  <si>
    <t xml:space="preserve"> OC-0000132200-2026 / OC-0000132404-2026 /OC-0000133495-2026/OC-0000137135-2026/OC-0000142573-2026</t>
  </si>
  <si>
    <t>25/05 / 27/05 / 04/06 /25/06 04/08</t>
  </si>
  <si>
    <t>PROY1385</t>
  </si>
  <si>
    <t xml:space="preserve">UTP_Ica_Proyecto_estandarizacion_cafeterias </t>
  </si>
  <si>
    <t>SC-0000126650-2026 - SC-0000126648-2026 ( GENERICO) (OC-0000137135-2026 AM000974) / NR enviada: OC-0000132404-2026/ NR  enviada OC-0000142538-2026 /NR ENVIADA OC-0000142573-2026/NR ENVIADA OC-0000137135-2026</t>
  </si>
  <si>
    <t>OPS_058</t>
  </si>
  <si>
    <t>SC-0000126648-2026 / SC-0000126650-2026 / SC-0000138448-2026/SC-0000143980-2026</t>
  </si>
  <si>
    <t>05/05 09/09</t>
  </si>
  <si>
    <t>OC-0000133495-2026 / OC-0000135468-2026 /  OC-0000142575-2026</t>
  </si>
  <si>
    <t>PROY1386</t>
  </si>
  <si>
    <t xml:space="preserve">UTP_Trujillo_Proyecto_estandarizacion_cafeterias </t>
  </si>
  <si>
    <t>SC-0000126650-2026 (GENERICO) / NR OC-0000133495-2026 enviado/ NR OC-0000142538-2026 ENVIADA/ NR OC-0000135468-2026 ENVIADA/OC-0000142575-2026 TIENE NR</t>
  </si>
  <si>
    <t>OPS_059</t>
  </si>
  <si>
    <t>SC-0000126648-2026 / SC-0000126650-2026</t>
  </si>
  <si>
    <t>OC-0000133495-2026 / OC-0000135466-2026/OC-0000142565-2026</t>
  </si>
  <si>
    <t>04/06 / 15/06 /  08/04</t>
  </si>
  <si>
    <t>PROY1387</t>
  </si>
  <si>
    <t xml:space="preserve">UTP_Chimbote_Proyecto_estandarizacion_cafeterias </t>
  </si>
  <si>
    <t>SC-0000126650-2026 ( GENERICO) / NR OC-0000133495-2026 enviado/OC-0000142565-2026 TIENE NR/</t>
  </si>
  <si>
    <t>OPS_060</t>
  </si>
  <si>
    <t>Proyecto de implementación de áreas de esparcimiento III Etapa</t>
  </si>
  <si>
    <t>SC-0000134265-2026 / SC-0000134267-2026 /SC-0000134318-2026 /SC-0000135915-2026</t>
  </si>
  <si>
    <t>22/06 / 24/06</t>
  </si>
  <si>
    <t>OC-0000136955-2026/OC-0000141560-2026</t>
  </si>
  <si>
    <t>PROY1388</t>
  </si>
  <si>
    <t>UTP_Piura_Implementacion_areas esparcimiento_III Etapa</t>
  </si>
  <si>
    <t>En proceso de diseño con Jossi/OC-0000136955-2026 TIENE NR/</t>
  </si>
  <si>
    <t>REVISAR PRESUPUESTO</t>
  </si>
  <si>
    <t>OPS_061</t>
  </si>
  <si>
    <t>SC-0000133361-2026</t>
  </si>
  <si>
    <t>PROY1389</t>
  </si>
  <si>
    <t>UTP_Chiclayo_Implementacion_areas esparcimiento_III Etapa</t>
  </si>
  <si>
    <t>En proceso de diseño con Jossi</t>
  </si>
  <si>
    <t>OPS_062</t>
  </si>
  <si>
    <t>SC-0000140219-2026/ SC-0000136124-2026/SC-0000140219-2026</t>
  </si>
  <si>
    <t>12/08 04/08  12/09</t>
  </si>
  <si>
    <t>OC-0000142538-2026</t>
  </si>
  <si>
    <t>PROY1390</t>
  </si>
  <si>
    <t>UTP_Ica_Implementacion_areas esparcimiento_III Etapa</t>
  </si>
  <si>
    <t>En proceso de diseño con Jossi/ LA SC-0000136124-2026 YA TIENE NR</t>
  </si>
  <si>
    <t>OPS_063</t>
  </si>
  <si>
    <t>SC-0000136125-2026</t>
  </si>
  <si>
    <t>OC-0000141554-2026 / OC-0000141566-2026</t>
  </si>
  <si>
    <t>PROY1391</t>
  </si>
  <si>
    <t>UTP_Trujillo_Implementacion_areas esparcimiento_III Etapa</t>
  </si>
  <si>
    <t>OPS_064</t>
  </si>
  <si>
    <t>Proyecto de implementación de filtro de armónico</t>
  </si>
  <si>
    <t>Parra 2 - Fachada,pdf</t>
  </si>
  <si>
    <t>PROY1392</t>
  </si>
  <si>
    <t>UTP_Chiclayo_Implementacion_filtro armonico</t>
  </si>
  <si>
    <t>NO SE CANCELA PASA AL PRESUPUESTO DE LUMINARIAS 2025</t>
  </si>
  <si>
    <t>SE EJECIUTA PTO 2025</t>
  </si>
  <si>
    <t>ADICIONAL</t>
  </si>
  <si>
    <t>OPS_065</t>
  </si>
  <si>
    <t>Proyecto Implementacion de filtro de armonico Ica</t>
  </si>
  <si>
    <t>PROY1393</t>
  </si>
  <si>
    <t>UTP_Ica_Implementacion_filtro armonico</t>
  </si>
  <si>
    <t>OPS_066</t>
  </si>
  <si>
    <t>Proyecto Implementacion de filtro de armonico Tacna y Arica</t>
  </si>
  <si>
    <t>PROY1394</t>
  </si>
  <si>
    <t>UTP_Parra 2_Implementacion_filtro armonico</t>
  </si>
  <si>
    <t>OPS_067</t>
  </si>
  <si>
    <t xml:space="preserve">Eloy /Gustavo </t>
  </si>
  <si>
    <t>Reestructuracion de espacios en cochera para motos y bicicletas</t>
  </si>
  <si>
    <t xml:space="preserve">Actualmente tenemos un ambiente desordenado (motos carros y bicicletas estacionan en todos lados) esto genera problemas de rayaduras saturación de espacios bloqueo de espacios de automóviles por bicicletas y motos), </t>
  </si>
  <si>
    <t>https://www,dropbox,com/scl/fo/oeaqdfv6av0j9jb28hmao/ALECckvrfXoqZnYvtw5pvYQ?rlkey=2vmcdlnqb4hnr1yli9uuq9jy4&amp;st=juylf8sd&amp;dl=0</t>
  </si>
  <si>
    <t xml:space="preserve"> SC-0000120475-2026</t>
  </si>
  <si>
    <t>PROY1395</t>
  </si>
  <si>
    <t>UTP_Ica_Reestructuracion _espacios _cochera_motos y bicicletas</t>
  </si>
  <si>
    <t xml:space="preserve">SC DEVUELTA se cambiará alcance </t>
  </si>
  <si>
    <t>OPS_068</t>
  </si>
  <si>
    <t>IRENE JAEN</t>
  </si>
  <si>
    <t>Rehabilitación de las veredas del perímetro principal del campus universitario</t>
  </si>
  <si>
    <t>La intervención mejorará la seguridad peatonal y la accesibilidad reduciendo riesgos de accidentes y mejorando la imagen institucional</t>
  </si>
  <si>
    <t>https://utpedupe,sharepoint,com/:f:/s/OperacionesCIX/EqUcK-qj9o9BhUnp4BxLFEkB4WPvvSS9VeygGf_9Z8t1Fw?e=92zjI3</t>
  </si>
  <si>
    <t>No podemos intervenir en la vía publica sería una iniciativa a trabajar con la municipalidd distrital/provincial, Presupuesto insuficiente</t>
  </si>
  <si>
    <t>OPS_069</t>
  </si>
  <si>
    <t>Randall Castillo</t>
  </si>
  <si>
    <t>Remodelación de baños  de los pisos 2,3 4 y 5 de Sede Central (PISO 6  CLAUSURADO Y PISO 1 YA CUENTA CON ESTANDAR)</t>
  </si>
  <si>
    <t>Remodelar mayólicas urinarios inodoros griferías y puertas de 10 baños de hombres y 10 de mujeres de los pisos 234 y 5, PISO 1 YA CUENTA CON BAÑOS REMODELADOS Y PISO 6 CLAUSURADO, La infraestructura en los baños requiere una renovación completa, Son baños que no han sido remodelados en por lo menos 20 años, Esto impacta negativamente en la percepción de los alumnos sobre la sede,</t>
  </si>
  <si>
    <t>https://drive,google,com/drive/folders/1kgZDIy-N2hSe5LTIEDs3SxsFwzpNrirb</t>
  </si>
  <si>
    <t>Con una ejecución de S/, 570 K (Ver PROY 1053) solo se pudo remodelar dos pisos de baños si el alcance es remodelar todos los pisos se debe pedir aprobación por lo menos de S/, 2MM</t>
  </si>
  <si>
    <t>cancelado</t>
  </si>
  <si>
    <t xml:space="preserve">REVISAR </t>
  </si>
  <si>
    <t>OPS_070</t>
  </si>
  <si>
    <t>Remodelación de baños  de todos los pisos de la sede Pacífico</t>
  </si>
  <si>
    <t>Remodelar mayólicas urinarios inodoros griferías y puertas de 6 baños de hombres y 6 de mujeres, La infraestructura en los baños requiere una renovación completa, Son baños que no han sido remodelados en por lo menos 20 años, Esto impacta negativamente en la percepción de los alumnos sobre la sede,</t>
  </si>
  <si>
    <t>https://utpedupe-my,sharepoint,com/:f:/g/personal/gricaza_utp_edu_pe/EpafVnJ5BdxEoPIvXq4Pu34BBViXn95F5XlpW2wVwugdBQ?e=v7ftsH</t>
  </si>
  <si>
    <t>Con una ejecución de S/, 570 K solo se pudo remodelar dos pisos de baños si el alcance es remodelar todos los pisos se debe pedir aprobación por lo menos de S/, 1,8 MM</t>
  </si>
  <si>
    <t>OPS_071</t>
  </si>
  <si>
    <t>Remodelacion de oficina de soporte TI</t>
  </si>
  <si>
    <t>Remodelacion ambiente (retiro pared dry wall y resanar)</t>
  </si>
  <si>
    <t>https://utpedupe,sharepoint,com/:f:/s/OperacionesCIX/Essg4D4TQX1LmAJFzksgG6kBnlhTXLK39MiNGY3rPfq0hA?e=FBnYNq</t>
  </si>
  <si>
    <t>SC-0000116652-2026</t>
  </si>
  <si>
    <t>OC-0000121741-2026</t>
  </si>
  <si>
    <t>PROY1396</t>
  </si>
  <si>
    <t>UTP_Chiclayo_Remodelacion_oficina_soporte TI</t>
  </si>
  <si>
    <t>OPS_072</t>
  </si>
  <si>
    <t>Remodelacion de punto de acopio</t>
  </si>
  <si>
    <t>La remodelación del punto de acopio mejorará la organización seguridad y eficiencia en el manejo y almacenamiento de materiales peligrosos</t>
  </si>
  <si>
    <t>https://utpedupe,sharepoint,com/:f:/s/OperacionesCIX/Elk3R8GCqBFDmAjzU0eGqSYBXXeQCM-ydsZIN07e3BqYuQ?e=j8T29G</t>
  </si>
  <si>
    <t>SC-0000116654-2026</t>
  </si>
  <si>
    <t>OC-0000122239-2026</t>
  </si>
  <si>
    <t>PROY1397</t>
  </si>
  <si>
    <t>UTP_Chiclayo_Remodelacion_punto de acopio</t>
  </si>
  <si>
    <t>OPS_073</t>
  </si>
  <si>
    <t>REMODELACION DEL FONDO DE ESCENARIO EN AUDITORIOS ( TTA SC Pacífico)</t>
  </si>
  <si>
    <t>REMODELACION ESCENARIOS AUDITORIOS 2026</t>
  </si>
  <si>
    <t>PROY1432</t>
  </si>
  <si>
    <t>OPS_074</t>
  </si>
  <si>
    <t>OPS_075</t>
  </si>
  <si>
    <t>mailto:eillanes@utp.edu.pe</t>
  </si>
  <si>
    <t>Las más críticas son TTA SC y Pacífico no cumplen con ningún estandar, LE LS SJL LN  tienen estandar anterior en buena condición</t>
  </si>
  <si>
    <t>PROY1431</t>
  </si>
  <si>
    <t>OPS_076</t>
  </si>
  <si>
    <t>Vicente Rodríguez/Eloy</t>
  </si>
  <si>
    <t>REMODELACION LAB, MAQUINAS ELECTRICAS</t>
  </si>
  <si>
    <t>SC-0000116737-2026</t>
  </si>
  <si>
    <t>OC-0000122075-2026</t>
  </si>
  <si>
    <t>PROY1398</t>
  </si>
  <si>
    <t>UTP_VES_REMODELACION_ LAB, MAQUINAS ELECTRICAS</t>
  </si>
  <si>
    <t>OPS_077</t>
  </si>
  <si>
    <t>Renovación de 40 puertas deterioradas</t>
  </si>
  <si>
    <t>Renovacion de puertas deterioradas por uso</t>
  </si>
  <si>
    <t>https://utpedupe,sharepoint,com/:f:/s/OperacionesCIX/Ekv9RKVnw6FInLOkchvl56kBhs3dV1bLiOEZkNNwlTbHkQ?e=ir6xIq</t>
  </si>
  <si>
    <t>SC-0000116991-2026</t>
  </si>
  <si>
    <t xml:space="preserve">OC-0000121764-2026 </t>
  </si>
  <si>
    <t>PROY1399</t>
  </si>
  <si>
    <t>UTP_Chiclayo_Renovación_40 puertas deterioradas</t>
  </si>
  <si>
    <t>solicitante Maria Gonzales</t>
  </si>
  <si>
    <t>OPS_078</t>
  </si>
  <si>
    <t>Renovación de 70 griferías de lavatorios de los baños en Torre Arequipa</t>
  </si>
  <si>
    <t>Las griferías de los lavatorios con más de 10 años de uso han superado su vida útil y presentan fallas recurrentes que afectan su operatividad, Su renovación mejorará la funcionalidad reducirá costos de mantenimiento y reforzará la imagen institucional, 70 unidades de grifería en los baños  que requieren renovación</t>
  </si>
  <si>
    <t>https://drive,google,com/file/d/1JYwl9pdZ1_zDv2cv1nn5kBfJq9di6w6U/view?usp=drive_link</t>
  </si>
  <si>
    <t>PROY1400</t>
  </si>
  <si>
    <t>UTP_Arq265-279_Renovación_70 griferías_lavatorios_baños_Torre II</t>
  </si>
  <si>
    <t>Se cancela revisado y aprobado por Elida (SC-0000116744-2026)</t>
  </si>
  <si>
    <t>OPS_079</t>
  </si>
  <si>
    <t>Renovación de 77 fluxómetros de los baños en Torre Arequipa</t>
  </si>
  <si>
    <t xml:space="preserve">Se requiere la renovación de los fluxómetros de los baños por tiempo de vida estan muy desgastados y ya no funcionan correctamente inclusive con los mantenimiento correspondientes, Lo que impacta a la limpieza e imagen hacia el alumno, Asimismo los piso del 1 al 5 son los más transitados , Son 77 fluxómetros que requieren renovación, </t>
  </si>
  <si>
    <t>https://drive,google,com/file/d/14iwmsQ7khk8EqBjZ5JCRthmcgOJr87ki/view?usp=drive_link</t>
  </si>
  <si>
    <t>SC-0000116775-2026 / SC-0000119671-2026</t>
  </si>
  <si>
    <t>10/02 / 09/03</t>
  </si>
  <si>
    <t xml:space="preserve">OC-0000123026-2026   / OC-0000123222-2026 </t>
  </si>
  <si>
    <t>07/03 / 10/03</t>
  </si>
  <si>
    <t>PROY1401</t>
  </si>
  <si>
    <t>UTP_Arq265-279_Renovación_77 fluxómetros_baños_Torre II</t>
  </si>
  <si>
    <t>OPS_080</t>
  </si>
  <si>
    <t xml:space="preserve">Renovación de mobiliario de  biblioteca de la sede Pacifico </t>
  </si>
  <si>
    <t>Renovación de mobiliario 8 mesas 72 sillas pintado de ambiente y counter  e instalación de luces led, El mobiliariono no corresponde al estandar de bibliotecas,</t>
  </si>
  <si>
    <t>https://utpedupe-my,sharepoint,com/:f:/g/personal/gricaza_utp_edu_pe/El5xox1oxXdOmgK68SuRThgB5LSa__eCpJCarXL9XzhewA?e=iWdBTX</t>
  </si>
  <si>
    <t>Proyectos Ops / Campus</t>
  </si>
  <si>
    <t>SC-0000130128-2026  / SC-0000130143-2026</t>
  </si>
  <si>
    <t>OC-0000132339-2026 / OC-0000135868-2026</t>
  </si>
  <si>
    <t>26/05 / 18/06</t>
  </si>
  <si>
    <t>AM001201</t>
  </si>
  <si>
    <t>UTP_Arq660-670_Renovación_mobiliario_biblioteca/OC-0000135868-2026 YA TIENE NR</t>
  </si>
  <si>
    <t>Pendiente diseño de mesa con tomacorrientes</t>
  </si>
  <si>
    <t>OPS_081</t>
  </si>
  <si>
    <t>Eloy Pocohuanca/Carlos Sanchez</t>
  </si>
  <si>
    <t>RENOVACION DE MOBILIARIO EQUIPOS ALFOMBRA DE AUDITORIO (SJL)</t>
  </si>
  <si>
    <t>RENOVACION MOBILIARIO ALFOMBRA AUDITORIOS</t>
  </si>
  <si>
    <t>SC-0000141274-2026</t>
  </si>
  <si>
    <t>AM001202</t>
  </si>
  <si>
    <t>UTP_SJL_RENOVACION DE MOBILIARIO EQUIPOS ALFOMBRA DE AUDITORIO (SJL Pacífico)</t>
  </si>
  <si>
    <t>Definir alcance Grecia</t>
  </si>
  <si>
    <t>OPS_082</t>
  </si>
  <si>
    <t>RENOVACION DE MOBILIARIO EQUIPOS ALFOMBRA DE AUDITORIO ( Pacífico)</t>
  </si>
  <si>
    <t>SJL (140K): CAMBIO DE ALFOMBRA SILLAS Y PARLANTES POR DETERIORO COLOCAR CONSOLA DIGITAL, 
COLOCAR ECRAN MAS GRANDE MEDIDAS APROX 3 mt ancho X 2,5 mt alto,
MEJORAR ILUMINACIÓN LED PARA ÁREA DE PÚBLICO Y LED GRADUABLE EN ESCENARIO CONTROL DESDE CONSOLA
LIJADO Y PINTADO DE PISO DE ESTRADO
PACIFICO (57K): actualización del mobiliario 100 sillas atril nuevo pintado de paredes y cambio de alfombra, Considerar el tema acustico para evitar filtración sonora</t>
  </si>
  <si>
    <t>SC-0000124574-2026 / SC-0000137824-2026</t>
  </si>
  <si>
    <t xml:space="preserve">OC-0000128967-2026 / OC-0000131424-2026 / OC-0000138255-2026 </t>
  </si>
  <si>
    <t>06/05 / 22/05 / 02/07</t>
  </si>
  <si>
    <t>AM001203</t>
  </si>
  <si>
    <t>UTP_Arq660-670_RENOVACION DE MOBILIARIO EQUIPOS ALFOMBRA DE AUDITORIO (SJL Pacífico)</t>
  </si>
  <si>
    <t>OC-0000128967-2026 (AUDIO) EJECUTADO / SC-0000137824-2026(pintura)/OC-0000131424-2026 TIENE NR/OC-0000138255-2026 TIENE NR</t>
  </si>
  <si>
    <t>OPS_083</t>
  </si>
  <si>
    <t>Renovación de piso  en la ruta de salida de los estudiantes (Av Petit Thouars) de Sede Central</t>
  </si>
  <si>
    <t>El piso se encuentra desgastado pese a que se le da tratamiento el efecto no es permanente ni duradero, Así mismo tiene desniveles que en época de lluvias forman charcos que pueden provocar accidentes, Genera una imagen negativa para la percepción de los estudiantes,</t>
  </si>
  <si>
    <t>https://drive,google,com/drive/folders/1nl6Zmy9Fa9oSNtlbJ6UyGcux8kj_OhHc</t>
  </si>
  <si>
    <t>SC-0000119911-2026</t>
  </si>
  <si>
    <t>OC-0000124128-2026</t>
  </si>
  <si>
    <t>PROY1402</t>
  </si>
  <si>
    <t>UTP_PTT_116_Renovación de piso  en la ruta de salida de los estudiantes</t>
  </si>
  <si>
    <t>Consultar con Fredy</t>
  </si>
  <si>
    <t>OPS_084</t>
  </si>
  <si>
    <t>Renovación de piso en la ruta de salida de los estudiantes (Av Hernán Velarde) de Sede Central</t>
  </si>
  <si>
    <t>https://drive,google,com/drive/folders/1wblKsN_IB2rV3gYmxJP5T8ffk2R6W2f5?usp=drive_link</t>
  </si>
  <si>
    <t>SC-0000119915-2026</t>
  </si>
  <si>
    <t>OC-0000124209-2026</t>
  </si>
  <si>
    <t>PROY1403</t>
  </si>
  <si>
    <t>UTP_Hernan Velarde _Renovación de piso  en la ruta de salida de los estudiantes</t>
  </si>
  <si>
    <t>OPS_085</t>
  </si>
  <si>
    <t>Reprogramación de ascensores por pisos</t>
  </si>
  <si>
    <t>Se propone la reprogramación de los ascensores asignando a cada uno un rango específico de pisos, Con esta medida buscamos optimizar su uso reducir los tiempos de espera y evitar aglomeraciones tal como ya se viene aplicando con éxito en otros campus,</t>
  </si>
  <si>
    <t>SC-0000116872-2026</t>
  </si>
  <si>
    <t>OC-0000142661-2026</t>
  </si>
  <si>
    <t>PROY1404</t>
  </si>
  <si>
    <t>UTP_Piura_Reprogramación de ascensores por pisos</t>
  </si>
  <si>
    <t>Se volvió a enviar la solicitud de nuevo encargado Gustavo M.</t>
  </si>
  <si>
    <t>OPS_086</t>
  </si>
  <si>
    <t xml:space="preserve">Alberto Fajardo Corpancho </t>
  </si>
  <si>
    <t>jfajardo@utp,edu,pe</t>
  </si>
  <si>
    <t>960 961 878</t>
  </si>
  <si>
    <t>Sistema fotoeléctrico/Reinstalación_Pacífico</t>
  </si>
  <si>
    <t>Seguridad</t>
  </si>
  <si>
    <t>SC-0000116881-2026</t>
  </si>
  <si>
    <t>OC-0000121706-2026</t>
  </si>
  <si>
    <t>PROY1405</t>
  </si>
  <si>
    <t>UTP_Arq660-670_Sistema fotoeléctrico</t>
  </si>
  <si>
    <t>Registrado</t>
  </si>
  <si>
    <t>OPS_087</t>
  </si>
  <si>
    <t>Sistema fotoeléctrico_Natalio Sanchez</t>
  </si>
  <si>
    <t>UTP NATALIO SANCHEZ 125 -  LIMA</t>
  </si>
  <si>
    <t>SC-0000117847-2026</t>
  </si>
  <si>
    <t>OC-0000122664-2026</t>
  </si>
  <si>
    <t>PROY1406</t>
  </si>
  <si>
    <t>UTP_Nat Sanc125_Sistema fotoeléctrico</t>
  </si>
  <si>
    <t>NR ENVIADA POR SEG,</t>
  </si>
  <si>
    <t>OPS_088</t>
  </si>
  <si>
    <t>Cerco eléctrico_Torre Central</t>
  </si>
  <si>
    <t>SC-0000117850-2026</t>
  </si>
  <si>
    <t>OC-0000122877-2026</t>
  </si>
  <si>
    <t>PROY1407</t>
  </si>
  <si>
    <t>UTP_PTT116_Sistema fotoeléctrico</t>
  </si>
  <si>
    <t>OPS_089</t>
  </si>
  <si>
    <t>Cerco eléctrico_Torre II</t>
  </si>
  <si>
    <t>SC-0000117858-2026</t>
  </si>
  <si>
    <t>OC-0000122655-2026</t>
  </si>
  <si>
    <t>PROY1408</t>
  </si>
  <si>
    <t>UTP_PTT383-385_Sistema fotoeléctrico</t>
  </si>
  <si>
    <t>OPS_090</t>
  </si>
  <si>
    <t>Cerco eléctrico_Torre Tecnológica Arequipa</t>
  </si>
  <si>
    <t>SC-0000117872-2026</t>
  </si>
  <si>
    <t>OC-0000122691-2026</t>
  </si>
  <si>
    <t>PROY1409</t>
  </si>
  <si>
    <t>UTP_Arq265-279_Sistema fotoeléctrico</t>
  </si>
  <si>
    <t>OPS_091</t>
  </si>
  <si>
    <t>Techo Para graderia de Polideportivo</t>
  </si>
  <si>
    <t>Protección contra el calor extremoprevención de insolación y mejorar la experiencia de nuestros estudiantes en el uso de las canchas y eventos deportivos</t>
  </si>
  <si>
    <t>https://utpedupe,sharepoint,com/:f:/s/OperacionesCIX/EltkQlZGy5JAvifqNVbigy8Bs2fi2mK7KopX8G1jYEUr1Q?e=QJl6a3</t>
  </si>
  <si>
    <t>OK para avaluar</t>
  </si>
  <si>
    <t>OPS_092</t>
  </si>
  <si>
    <t>Tomacorrientes Hall principal</t>
  </si>
  <si>
    <t>Implementacion de tomacorrientes en Hall principal para reducir riesgos de accidentes y los espacios sean más atractivos para estudiantes,</t>
  </si>
  <si>
    <t>https://utpedupe,sharepoint,com/:f:/s/OperacionesCIX/Em9GiDa8sMRCvvwY22M06JsBhfFUuetCoxBI4uXtOME5Cg?e=VHAA2R</t>
  </si>
  <si>
    <t>SC-0000116996-2026</t>
  </si>
  <si>
    <t>OC-0000122087-2026</t>
  </si>
  <si>
    <t>MEJ00211</t>
  </si>
  <si>
    <t>UTP_Chiclayo_Tomacorrientes Hall principal</t>
  </si>
  <si>
    <t>SC registrada por Maria Gonzales</t>
  </si>
  <si>
    <t>OPS_093</t>
  </si>
  <si>
    <t>TyA  - Azotea - Cobertura y Estandarización espacios de esparcimiento para colaboradores</t>
  </si>
  <si>
    <t>Habilitar terraza con  elevación de parapeto implementación de cobertura e implementar mobiliario de acuerdo a estándar nacional incluyendo puntos de carga</t>
  </si>
  <si>
    <t>29,TyA - Azotea - Cobertura y Estandarización espacios de esparcimiento,mp4</t>
  </si>
  <si>
    <t>PROY1410</t>
  </si>
  <si>
    <t>UTP_Arq_Tacna y Arica 158-160-162_Habilitar terraza_esparcimiento_colaboradores</t>
  </si>
  <si>
    <t>PARA CONSULTAR CON ELIDA</t>
  </si>
  <si>
    <t>OPS_094</t>
  </si>
  <si>
    <t>TyA  - Ingreso y Salida Vehicular - Cambio de sentido o sistema de puertas</t>
  </si>
  <si>
    <t>Puertas invaden la vía pública(veredas) la Municipalidad lo ha observado las puertas permanecen abiertas,</t>
  </si>
  <si>
    <t>31,TyA - Ingreso y Salida Vehicular - Cambio de sentido o sistema de puertas,mp4</t>
  </si>
  <si>
    <t>SC-0000116997-2026</t>
  </si>
  <si>
    <t>OC-0000125363-2026</t>
  </si>
  <si>
    <t>PROY1411</t>
  </si>
  <si>
    <t>UTP_Arq Parra 2_TyA  - Ingreso y Salida Vehicular - Cambio de sentido o sistema de puertas</t>
  </si>
  <si>
    <t>Solicitante Maria Gonzales</t>
  </si>
  <si>
    <t>OPS_095</t>
  </si>
  <si>
    <t>TyA  - Protección de ventanas externas en lab especializados</t>
  </si>
  <si>
    <t>Instalación de protección en inox para garantizar seguridad pero permitir el abrir y cerrar ventanas (pueden ser alarmas y sensores)</t>
  </si>
  <si>
    <t>26,TyA - Protección de ventanas externas en lab especializados,mp4</t>
  </si>
  <si>
    <t>OK a evaluar se debe tener cuidado contratamiento de fachada</t>
  </si>
  <si>
    <t>OPS_096</t>
  </si>
  <si>
    <t>TyA  - Rampa y puerta acceso discapacitados - ruta a zona deportiva - Av, Quiroz</t>
  </si>
  <si>
    <t>Para evacuación de accidentados desde la zona deportiva se hace necesaria habilitación de rampa y puerta por la av, Quiroz hacia Tópico de TyA</t>
  </si>
  <si>
    <t>30,TyA - Rampa y puerta para discapacitados,mp4</t>
  </si>
  <si>
    <t>OK a evaluar por el momento no es posible integrar la zona deportivcacon el campus</t>
  </si>
  <si>
    <t>OPS_097</t>
  </si>
  <si>
    <t>TyA - 2 puntos de agua en falsa fachada</t>
  </si>
  <si>
    <t>Habilitación de 2 puntos de agua para regado de áreas verdes</t>
  </si>
  <si>
    <t>32,TyA - 2 puntos de agua en falsa fachada,mp4</t>
  </si>
  <si>
    <t>SC-0000116998-2026</t>
  </si>
  <si>
    <t>OC-0000123545-2026</t>
  </si>
  <si>
    <t>PROY1412</t>
  </si>
  <si>
    <t>UTP_Arq Parra 2_TyA - 2 puntos de agua en falsa fachada</t>
  </si>
  <si>
    <t>OPS_098</t>
  </si>
  <si>
    <t>Zona Deportiva - Enmallado cancha fulbito con olímpica o nylon según ppto</t>
  </si>
  <si>
    <t>Enmallado de parte lateral de cancha de fulbito</t>
  </si>
  <si>
    <t>33,Zona Deportiva - Enmallado cancha fulbito,mp4</t>
  </si>
  <si>
    <t>PROY1413</t>
  </si>
  <si>
    <t>UTP_Areq Parra 2_Zona Deportiva - Enmallado cancha fulbito con olímpica o nylon según ppto</t>
  </si>
  <si>
    <t>Consultar con Raul</t>
  </si>
  <si>
    <t>Cambio de dirección de proyecto</t>
  </si>
  <si>
    <t>OPS_099</t>
  </si>
  <si>
    <t>mailto:jfajardo@utp.edu.pe</t>
  </si>
  <si>
    <t>Parra 2 - Estacionamientos - 02 puntos de agua</t>
  </si>
  <si>
    <t>MEJ00273</t>
  </si>
  <si>
    <t>UTP_ARQP PARRA 217_Estacionamientos_02 puntos de agua</t>
  </si>
  <si>
    <t>Crear proyecto</t>
  </si>
  <si>
    <t>OPS_100</t>
  </si>
  <si>
    <t>MEJ00274</t>
  </si>
  <si>
    <t>UTP_ARQP PARRA 217_Implement_tomacorrientes_biblioteca</t>
  </si>
  <si>
    <t>OPS_101</t>
  </si>
  <si>
    <t>SSGG</t>
  </si>
  <si>
    <t>VICENTE RODRIGUEZ PASTOR</t>
  </si>
  <si>
    <t>Cambio del piso de biblioteca por el estado deteriorado</t>
  </si>
  <si>
    <t>MEJ00223</t>
  </si>
  <si>
    <t>UTP_VES_PISO BIBLIOTECA_LIMA SUR</t>
  </si>
  <si>
    <t>JRUIZSE</t>
  </si>
  <si>
    <t>SSGG_001</t>
  </si>
  <si>
    <t>PEDRO GARCIA</t>
  </si>
  <si>
    <t>Ampliación de ingreso correr barandas reubicación de puertas punto de energía y data e incrementar 2 molinetes</t>
  </si>
  <si>
    <t>Infraestructura / Seguridad</t>
  </si>
  <si>
    <t>AM001045</t>
  </si>
  <si>
    <t>UTP_Ampliación de ingreso correr barandas reubicación de puertas punto de energía y data e incrementar 2 molinetes_Chiclayo</t>
  </si>
  <si>
    <t>NO SE CANCELA  SE EJECUTA CON INFRAESTRUCTURA</t>
  </si>
  <si>
    <t>NO VA REVISAR CON PEDRO</t>
  </si>
  <si>
    <t>SSGG_002</t>
  </si>
  <si>
    <t>AM001047</t>
  </si>
  <si>
    <t>UTP_Ampliación de ingreso correr barandas reubicación de puertas punto de energía y data e incrementar 2 molinetes_Lima Sur</t>
  </si>
  <si>
    <t>SSGG_003</t>
  </si>
  <si>
    <t>SC-0000119083-2026</t>
  </si>
  <si>
    <t>PROY1422</t>
  </si>
  <si>
    <t>UTP_LN_AV, INFANTAS LOTE 28_SUMIN E INSTALAC_MOLINETES Y TRANQUERAS</t>
  </si>
  <si>
    <t>En coordinación con Fredy V, Se cambió el # AM001046</t>
  </si>
  <si>
    <t>SSGG_004</t>
  </si>
  <si>
    <t>AM001048</t>
  </si>
  <si>
    <t>UTP_Ampliación de ingreso correr barandas reubicación de puertas punto de energía y data e incrementar 2 molinetes_Chimbote</t>
  </si>
  <si>
    <t>SSGG_005</t>
  </si>
  <si>
    <t>Randall Castillo/Alberto</t>
  </si>
  <si>
    <t>SC-0000115120-2026 / SC-0000123163-2026</t>
  </si>
  <si>
    <t>OC-0000122724-2026 / OC-0000133815-2026</t>
  </si>
  <si>
    <t>05/03 / 18/05</t>
  </si>
  <si>
    <t>PROY1423</t>
  </si>
  <si>
    <t>UTP_PIURA_SUMIN E INSTALAC_MOLINETES Y TRANQUERAS</t>
  </si>
  <si>
    <t>SC-0000123163-2026 complementa la iniciativa con 3 molinetes (PROY1420)</t>
  </si>
  <si>
    <t>SSGG_006</t>
  </si>
  <si>
    <t>Cambio de bombas de agua y pozo septicos Pacífico</t>
  </si>
  <si>
    <t>SC-0000116832-2026</t>
  </si>
  <si>
    <t>OC-0000129133-2026</t>
  </si>
  <si>
    <t>PROY1287</t>
  </si>
  <si>
    <t xml:space="preserve">UTP_LIMA_CENTRO_Cambio de bombas de agua y pozo septicos </t>
  </si>
  <si>
    <t>Se destina el ahorro a la iniciativa SSGG_006</t>
  </si>
  <si>
    <t>SSGG_007</t>
  </si>
  <si>
    <t xml:space="preserve">Alfredo Aurelio Matos Olarte </t>
  </si>
  <si>
    <t>amatos@utp,edu,pe</t>
  </si>
  <si>
    <t>994 690 444</t>
  </si>
  <si>
    <t>Cambio del sistema de conferencia y debate de la sala de audiencias</t>
  </si>
  <si>
    <t>Labs</t>
  </si>
  <si>
    <t xml:space="preserve"> SC-0000116875-2026</t>
  </si>
  <si>
    <t>OC-0000122073-2026</t>
  </si>
  <si>
    <t>AM001049</t>
  </si>
  <si>
    <t>UTP_Cambio del sistema de conferencia y debate de la sala de audiencias_Trujillo</t>
  </si>
  <si>
    <t>Se utiliza un presupuesto de 36177,55</t>
  </si>
  <si>
    <t>SSGG_008</t>
  </si>
  <si>
    <t>SC-0000116879-2026</t>
  </si>
  <si>
    <t>OC-0000122141-2026</t>
  </si>
  <si>
    <t>AM001050</t>
  </si>
  <si>
    <t>UTP_Cambio del sistema de conferencia y debate de la sala de audiencias_Lima Sur</t>
  </si>
  <si>
    <t>SSGG_009</t>
  </si>
  <si>
    <t>SC-0000116880-2026</t>
  </si>
  <si>
    <t>OC-0000122142-2026</t>
  </si>
  <si>
    <t>AM001051</t>
  </si>
  <si>
    <t>UTP_Cambio del sistema de conferencia y debate de la sala de audiencias_Piura</t>
  </si>
  <si>
    <t>SSGG_010</t>
  </si>
  <si>
    <t>Implementación de armario de respuesta a emergencias que cuenten con el equipamiento básico para la atención de emergencias,</t>
  </si>
  <si>
    <t>SC-0000119015-2026</t>
  </si>
  <si>
    <t>OC-0000123332-2026</t>
  </si>
  <si>
    <t>AM001009</t>
  </si>
  <si>
    <t>UTP_Implementación de armario de respuesta a emergencias que cuenten con el equipamiento básico para la atención de emergencias_Lima Norte</t>
  </si>
  <si>
    <t>SSGG_011</t>
  </si>
  <si>
    <t>SC-0000119018-2026</t>
  </si>
  <si>
    <t>OC-0000123333-2026</t>
  </si>
  <si>
    <t>AM001010</t>
  </si>
  <si>
    <t>UTP_Implementación de armario de respuesta a emergencias que cuenten con el equipamiento básico para la atención de emergencias_Lima Sur</t>
  </si>
  <si>
    <t>SSGG_012</t>
  </si>
  <si>
    <t>SC-0000119019-2026</t>
  </si>
  <si>
    <t>OC-0000123336-2026</t>
  </si>
  <si>
    <t>AM001013</t>
  </si>
  <si>
    <t>UTP_Implementación de armario de respuesta a emergencias que cuenten con el equipamiento básico para la atención de emergencias_Lima Este</t>
  </si>
  <si>
    <t>SSGG_013</t>
  </si>
  <si>
    <t>SC-0000119022-2026</t>
  </si>
  <si>
    <t>OC-0000123337-2026</t>
  </si>
  <si>
    <t>AM001014</t>
  </si>
  <si>
    <t>UTP_Implementación de armario de respuesta a emergencias que cuenten con el equipamiento básico para la atención de emergencias_SJL</t>
  </si>
  <si>
    <t>SSGG_014</t>
  </si>
  <si>
    <t>SC-0000119023-2026</t>
  </si>
  <si>
    <t>OC-0000123339-2026</t>
  </si>
  <si>
    <t>AM001016</t>
  </si>
  <si>
    <t>UTP_Implementación de armario de respuesta a emergencias que cuenten con el equipamiento básico para la atención de emergencias_Ica</t>
  </si>
  <si>
    <t>SSGG_015</t>
  </si>
  <si>
    <t>SC-0000119024-2026</t>
  </si>
  <si>
    <t>OC-0000123340-2026</t>
  </si>
  <si>
    <t>AM001017</t>
  </si>
  <si>
    <t>UTP_Implementación de armario de respuesta a emergencias que cuenten con el equipamiento básico para la atención de emergencias_Huancayo</t>
  </si>
  <si>
    <t>SSGG_016</t>
  </si>
  <si>
    <t>SC-0000119025-2026</t>
  </si>
  <si>
    <t>OC-0000123341-2026</t>
  </si>
  <si>
    <t>AM001018</t>
  </si>
  <si>
    <t>UTP_Implementación de armario de respuesta a emergencias que cuenten con el equipamiento básico para la atención de emergencias_Chiclayo</t>
  </si>
  <si>
    <t>SSGG_017</t>
  </si>
  <si>
    <t>SC-0000119026-2026</t>
  </si>
  <si>
    <t>OC-0000123342-2026</t>
  </si>
  <si>
    <t>AM001019</t>
  </si>
  <si>
    <t>UTP_Implementación de armario de respuesta a emergencias que cuenten con el equipamiento básico para la atención de emergencias_Piura</t>
  </si>
  <si>
    <t>SSGG_018</t>
  </si>
  <si>
    <t>SC-0000119027-2026</t>
  </si>
  <si>
    <t>OC-0000123343-2026</t>
  </si>
  <si>
    <t>AM001020</t>
  </si>
  <si>
    <t>UTP_Implementación de armario de respuesta a emergencias que cuenten con el equipamiento básico para la atención de emergencias_Trujillo</t>
  </si>
  <si>
    <t>SSGG_019</t>
  </si>
  <si>
    <t>SC-0000119029-2026</t>
  </si>
  <si>
    <t>OC-0000123344-2026</t>
  </si>
  <si>
    <t>AM001021</t>
  </si>
  <si>
    <t>UTP_Implementación de armario de respuesta a emergencias que cuenten con el equipamiento básico para la atención de emergencias_Chimbote</t>
  </si>
  <si>
    <t>SSGG_020</t>
  </si>
  <si>
    <t>UTP AV, ABELARDO QUIÑONES 2371 - IQUITOS</t>
  </si>
  <si>
    <t>SC-0000119032-2026</t>
  </si>
  <si>
    <t>OC-0000123345-2026</t>
  </si>
  <si>
    <t>AM001022</t>
  </si>
  <si>
    <t>UTP_Implementación de armario de respuesta a emergencias que cuenten con el equipamiento básico para la atención de emergencias_Iquitos</t>
  </si>
  <si>
    <t>SSGG_021</t>
  </si>
  <si>
    <t>UTP AV, CENTENARIO - PUCALLPA</t>
  </si>
  <si>
    <t>SC-0000119034-2026</t>
  </si>
  <si>
    <t>OC-0000123346-2026</t>
  </si>
  <si>
    <t>AM001023</t>
  </si>
  <si>
    <t>UTP_Implementación de armario de respuesta a emergencias que cuenten con el equipamiento básico para la atención de emergencias_Pucallpa</t>
  </si>
  <si>
    <t>SSGG_022</t>
  </si>
  <si>
    <t>UTP AV, BILLINGHURTS 800 - TACNA</t>
  </si>
  <si>
    <t>SC-0000119035-2026</t>
  </si>
  <si>
    <t>OC-0000123347-2026</t>
  </si>
  <si>
    <t>AM001024</t>
  </si>
  <si>
    <t>UTP_Implementación de armario de respuesta a emergencias que cuenten con el equipamiento básico para la atención de emergencias_Tacna</t>
  </si>
  <si>
    <t>SSGG_023</t>
  </si>
  <si>
    <t>Implementación de armario de respuesta a emergencias que cuenten con el equipamiento básico para la atención de emergencias, LC TTA</t>
  </si>
  <si>
    <t>SC-0000119036-2026</t>
  </si>
  <si>
    <t>OC-0000123335-2026</t>
  </si>
  <si>
    <t>AM001012</t>
  </si>
  <si>
    <t>UTP_Implementación de armario de respuesta a emergencias que cuenten con el equipamiento básico para la atención de emergencias_LC Torre Arequipa</t>
  </si>
  <si>
    <t>SSGG_024</t>
  </si>
  <si>
    <t>Implementación de armario de respuesta a emergencias que cuenten con el equipamiento básico para la atención de emergencias, Quiroz</t>
  </si>
  <si>
    <t>SC-0000119037-2026</t>
  </si>
  <si>
    <t>OC-0000123338-2026</t>
  </si>
  <si>
    <t>AM001015</t>
  </si>
  <si>
    <t>SSGG_025</t>
  </si>
  <si>
    <t>Implementación de armario de respuesta a emergencias que cuenten con el equipamiento básico para la atención de emergencias,Torre II</t>
  </si>
  <si>
    <t>SC-0000119040-2026</t>
  </si>
  <si>
    <t>OC-0000123334-2026</t>
  </si>
  <si>
    <t>AM001011</t>
  </si>
  <si>
    <t>UTP_Implementación de armario de respuesta a emergencias que cuenten con el equipamiento básico para la atención de emergencias_LC Torre II</t>
  </si>
  <si>
    <t>SSGG_026</t>
  </si>
  <si>
    <t>Alberto Fajardo Corpancho  / Luis Alberto Garcia Durand</t>
  </si>
  <si>
    <t>jfajardo@utp,edu,pe / lgarciadd@utp,edu,pe</t>
  </si>
  <si>
    <t>960 961 878 / 958 209 824</t>
  </si>
  <si>
    <t>Implementación de cámaras en ascensores</t>
  </si>
  <si>
    <t>Seguridad / Mantenimiento</t>
  </si>
  <si>
    <t>AM001130</t>
  </si>
  <si>
    <t>UTP_Implementación de cámaras en ascensores</t>
  </si>
  <si>
    <t>En decision de Gerencia</t>
  </si>
  <si>
    <t>SSGG_027</t>
  </si>
  <si>
    <t>AM001133</t>
  </si>
  <si>
    <t>SSGG_028</t>
  </si>
  <si>
    <t>AM001135</t>
  </si>
  <si>
    <t>SSGG_029</t>
  </si>
  <si>
    <t>AM001132</t>
  </si>
  <si>
    <t>SSGG_030</t>
  </si>
  <si>
    <t>AM001143</t>
  </si>
  <si>
    <t>SSGG_031</t>
  </si>
  <si>
    <t>AM001204</t>
  </si>
  <si>
    <t>UTP_Hcyo_Implementación de cámaras en ascensores</t>
  </si>
  <si>
    <t>SSGG_032</t>
  </si>
  <si>
    <t>AM001129</t>
  </si>
  <si>
    <t>SSGG_033</t>
  </si>
  <si>
    <t>AM001131</t>
  </si>
  <si>
    <t>SSGG_034</t>
  </si>
  <si>
    <t>AM001136</t>
  </si>
  <si>
    <t>SSGG_035</t>
  </si>
  <si>
    <t>AM001139</t>
  </si>
  <si>
    <t>SSGG_036</t>
  </si>
  <si>
    <t>AM001123</t>
  </si>
  <si>
    <t>SSGG_037</t>
  </si>
  <si>
    <t>AM001127</t>
  </si>
  <si>
    <t>SSGG_038</t>
  </si>
  <si>
    <t>AM001126</t>
  </si>
  <si>
    <t>SSGG_039</t>
  </si>
  <si>
    <t>Implementación de cámaras en ascensores Arequipa TyA</t>
  </si>
  <si>
    <t>AM001145</t>
  </si>
  <si>
    <t>SSGG_040</t>
  </si>
  <si>
    <t>Implementación de cámaras en ascensores Jarrita</t>
  </si>
  <si>
    <t>UTP PETIT THOURS 170-180-188-198 - LIMA</t>
  </si>
  <si>
    <t>AM001205</t>
  </si>
  <si>
    <t>UTP_PTT170-180-188-198_Implementación de cámaras en ascensores Jarrita</t>
  </si>
  <si>
    <t>SSGG_041</t>
  </si>
  <si>
    <t>Implementación de cámaras en ascensores LC TTA</t>
  </si>
  <si>
    <t>AM001125</t>
  </si>
  <si>
    <t>SSGG_042</t>
  </si>
  <si>
    <t>Implementación de cámaras en ascensores Pacífico</t>
  </si>
  <si>
    <t>AM001122</t>
  </si>
  <si>
    <t>SSGG_043</t>
  </si>
  <si>
    <t>Implementación de cámaras en ascensores Parra 1</t>
  </si>
  <si>
    <t>AM001137</t>
  </si>
  <si>
    <t>SSGG_044</t>
  </si>
  <si>
    <t>Implementación de cámaras en ascensores Parra 2</t>
  </si>
  <si>
    <t>AM001138</t>
  </si>
  <si>
    <t>Consultar con Alberto</t>
  </si>
  <si>
    <t>SSGG_045</t>
  </si>
  <si>
    <t>Implementación de cámaras en ascensores Sede central</t>
  </si>
  <si>
    <t>AM001142</t>
  </si>
  <si>
    <t>SSGG_046</t>
  </si>
  <si>
    <t>Implementación de cámaras en ascensores Torre II</t>
  </si>
  <si>
    <t>AM001140</t>
  </si>
  <si>
    <t>Pendiente Alberto Fajardo</t>
  </si>
  <si>
    <t>SSGG_047</t>
  </si>
  <si>
    <t>Implementación de tranqueras vehiculares faltantes</t>
  </si>
  <si>
    <t>SC-0000115151-2026</t>
  </si>
  <si>
    <t>OC-0000122721-2026</t>
  </si>
  <si>
    <t>PROY1290</t>
  </si>
  <si>
    <t>UTP_Implementación de tranqueras vehiculares faltantes</t>
  </si>
  <si>
    <t>SSGG_048</t>
  </si>
  <si>
    <t>OC-0000122725-2026</t>
  </si>
  <si>
    <t>PROY1291</t>
  </si>
  <si>
    <t>SSGG_049</t>
  </si>
  <si>
    <t>SC-0000115151-2026 / SC-0000123130-2026 /SC-0000127922-2026</t>
  </si>
  <si>
    <t>27/01 / 09/04 / 14/05</t>
  </si>
  <si>
    <t xml:space="preserve"> OC-0000122719-2026 / OC-0000127176-2026 / OC-0000130655-2026</t>
  </si>
  <si>
    <t>05/03 / 21/04 /18/05</t>
  </si>
  <si>
    <t>PROY1294</t>
  </si>
  <si>
    <t>SC-0000127922-2026 (Bases de concreto) / El presupuesto se amplia a 31222,07</t>
  </si>
  <si>
    <t>El presupuesto adicional sale de Laboratorios - Sala Audiencias</t>
  </si>
  <si>
    <t>SSGG_050</t>
  </si>
  <si>
    <t>Implementación de tranqueras vehiculares faltantes Arequipa Parra 1</t>
  </si>
  <si>
    <t>SC-0000115151-2026 / SC-0000127934-2026</t>
  </si>
  <si>
    <t>27/01 / 14/05</t>
  </si>
  <si>
    <t>OC-0000122720-2026</t>
  </si>
  <si>
    <t>PROY1293</t>
  </si>
  <si>
    <t>El presupuesto se amplia a 24373,41</t>
  </si>
  <si>
    <t>SSGG_051</t>
  </si>
  <si>
    <t>Implementación de tranqueras vehiculares faltantes Arequipa TyA</t>
  </si>
  <si>
    <t>SC-0000119817-2026 / SC-0000127948-2026</t>
  </si>
  <si>
    <t>10/03 / 14/05</t>
  </si>
  <si>
    <t>OC-0000123356-2026</t>
  </si>
  <si>
    <t>PROY1292</t>
  </si>
  <si>
    <t>El presupuesto se amplia a 32924,07</t>
  </si>
  <si>
    <t>SSGG_052</t>
  </si>
  <si>
    <t>Implementación de tranqueras vehiculares faltantes LCT TTA</t>
  </si>
  <si>
    <t xml:space="preserve"> SC-0000115151-2026 / SC-0000123138-2026</t>
  </si>
  <si>
    <t>27/01 / 09/04</t>
  </si>
  <si>
    <t xml:space="preserve"> OC-0000122722-2026 / OC-0000127178-2026</t>
  </si>
  <si>
    <t>05/03 / 21/04</t>
  </si>
  <si>
    <t>PROY1289</t>
  </si>
  <si>
    <t>SSGG_053</t>
  </si>
  <si>
    <t>Implementación de tranqueras vehiculares faltantes Torre II</t>
  </si>
  <si>
    <t>SC-0000115151-2026 / SC-0000123459-2026</t>
  </si>
  <si>
    <t>OC-0000122723-2026 / OC-0000127077-2026</t>
  </si>
  <si>
    <t>05/03 / 20/04</t>
  </si>
  <si>
    <t>PROY1288</t>
  </si>
  <si>
    <t>UTP_PETTI_THOUARS383_Implementación de tranqueras vehiculares faltantes</t>
  </si>
  <si>
    <t xml:space="preserve">PENDIENTE ENVIO DE NR OC-0000127077-2026 </t>
  </si>
  <si>
    <t>SSGG_054</t>
  </si>
  <si>
    <t>Implementar cámaras en puntos ciegos (15)</t>
  </si>
  <si>
    <t>SC-0000124587-2026 / SC-0000136062-2026</t>
  </si>
  <si>
    <t>21/04 / 07/07</t>
  </si>
  <si>
    <t xml:space="preserve">OC-0000127435-2026 / OC-0000127436-2026 </t>
  </si>
  <si>
    <t>AM001134</t>
  </si>
  <si>
    <t>UTP_Implementar cámaras en puntos ciegos (15)</t>
  </si>
  <si>
    <t>SC-0000136062-2026 (SWITCHES)</t>
  </si>
  <si>
    <t>SSGG_055</t>
  </si>
  <si>
    <t>Implementar cámaras en puntos ciegos (20) Arequipa TyA</t>
  </si>
  <si>
    <t>SC-0000124598-2026 / SC-0000136068-2026</t>
  </si>
  <si>
    <t>OC-0000127431-2026 / OC-0000127432-2026</t>
  </si>
  <si>
    <t>AM001144</t>
  </si>
  <si>
    <t>UTP_Implementar cámaras en puntos ciegos (20)</t>
  </si>
  <si>
    <t>SC-0000136068-2026 (SWITCHES)</t>
  </si>
  <si>
    <t>SSGG_056</t>
  </si>
  <si>
    <t>Implementar cámaras en puntos ciegos (20) LC TTA</t>
  </si>
  <si>
    <t>SC-0000124592-2026 / SC-0000136071-2026</t>
  </si>
  <si>
    <t>OC-0000127433-2026 / OC-0000127434-2026</t>
  </si>
  <si>
    <t>AM001124</t>
  </si>
  <si>
    <t>SC-0000136071-2026 (SWITCHES)/ OC-0000127433-2026 TIENE NR</t>
  </si>
  <si>
    <t>SSGG_057</t>
  </si>
  <si>
    <t>Implementar cámaras en puntos ciegos (90)</t>
  </si>
  <si>
    <t>SC-0000124599-2026 / SC-0000136073-2026</t>
  </si>
  <si>
    <t>OC-0000127429-2026 / OC-0000127430-2026</t>
  </si>
  <si>
    <t>AM001128</t>
  </si>
  <si>
    <t>UTP_Implementar cámaras en puntos ciegos (90)</t>
  </si>
  <si>
    <t>SC-0000136073-2026 (SWITCHES)</t>
  </si>
  <si>
    <t>SSGG_058</t>
  </si>
  <si>
    <t>Implementar cámaras en puntos ciegos(25) Sede Central</t>
  </si>
  <si>
    <t>SC-0000124590-2026 / SC-0000136074-2026</t>
  </si>
  <si>
    <t>OC-0000127437-2026 / OC-0000127438-2026</t>
  </si>
  <si>
    <t>AM001141</t>
  </si>
  <si>
    <t>UTP_Implementar cámaras en puntos ciegos(25)</t>
  </si>
  <si>
    <t>SC-0000136074-2026 (SWITCHES)/ NR ENVIADA OC-0000127437-2026(</t>
  </si>
  <si>
    <t>SSGG_059</t>
  </si>
  <si>
    <t>Instalación de pantalla de 50” en los ingresos de los Campus para complementar el sistema de control de acceso</t>
  </si>
  <si>
    <t>AM001025</t>
  </si>
  <si>
    <t>UTP_Instalación de pantalla de 50” en los ingresos de los Campus para complementar el sistema de control de acceso_Lima Norte</t>
  </si>
  <si>
    <t>Desestimada en reevaluación del sistema integral con Plataforma</t>
  </si>
  <si>
    <t>SSGG_060</t>
  </si>
  <si>
    <t>AM001026</t>
  </si>
  <si>
    <t>UTP_Instalación de pantalla de 50” en los ingresos de los Campus para complementar el sistema de control de acceso_Lima Sur</t>
  </si>
  <si>
    <t>SSGG_061</t>
  </si>
  <si>
    <t>AM001030</t>
  </si>
  <si>
    <t>UTP_Instalación de pantalla de 50” en los ingresos de los Campus para complementar el sistema de control de acceso_Lima Este</t>
  </si>
  <si>
    <t>SSGG_062</t>
  </si>
  <si>
    <t>AM001031</t>
  </si>
  <si>
    <t>UTP_Instalación de pantalla de 50” en los ingresos de los Campus para complementar el sistema de control de acceso_SJL</t>
  </si>
  <si>
    <t>SSGG_063</t>
  </si>
  <si>
    <t>AM001035</t>
  </si>
  <si>
    <t>UTP_Instalación de pantalla de 50” en los ingresos de los Campus para complementar el sistema de control de acceso_Ica</t>
  </si>
  <si>
    <t>SSGG_064</t>
  </si>
  <si>
    <t>AM001036</t>
  </si>
  <si>
    <t>UTP_Instalación de pantalla de 50” en los ingresos de los Campus para complementar el sistema de control de acceso_Huancayo</t>
  </si>
  <si>
    <t>SSGG_065</t>
  </si>
  <si>
    <t>AM001037</t>
  </si>
  <si>
    <t>UTP_Instalación de pantalla de 50” en los ingresos de los Campus para complementar el sistema de control de acceso_Chiclayo</t>
  </si>
  <si>
    <t>SSGG_066</t>
  </si>
  <si>
    <t>AM001038</t>
  </si>
  <si>
    <t>UTP_Instalación de pantalla de 50” en los ingresos de los Campus para complementar el sistema de control de acceso_Piura</t>
  </si>
  <si>
    <t>SSGG_067</t>
  </si>
  <si>
    <t>AM001039</t>
  </si>
  <si>
    <t>UTP_Instalación de pantalla de 50” en los ingresos de los Campus para complementar el sistema de control de acceso_Trujillo</t>
  </si>
  <si>
    <t>SSGG_068</t>
  </si>
  <si>
    <t>AM001040</t>
  </si>
  <si>
    <t>UTP_Instalación de pantalla de 50” en los ingresos de los Campus para complementar el sistema de control de acceso_Chimbote</t>
  </si>
  <si>
    <t>SSGG_069</t>
  </si>
  <si>
    <t>AM001041</t>
  </si>
  <si>
    <t>UTP_Instalación de pantalla de 50” en los ingresos de los Campus para complementar el sistema de control de acceso_Iquitos</t>
  </si>
  <si>
    <t>SSGG_070</t>
  </si>
  <si>
    <t>AM001042</t>
  </si>
  <si>
    <t>UTP_Instalación de pantalla de 50” en los ingresos de los Campus para complementar el sistema de control de acceso_Pucallpa</t>
  </si>
  <si>
    <t>SSGG_071</t>
  </si>
  <si>
    <t>AM001043</t>
  </si>
  <si>
    <t>UTP_Instalación de pantalla de 50” en los ingresos de los Campus para complementar el sistema de control de acceso_Tacna</t>
  </si>
  <si>
    <t>SSGG_072</t>
  </si>
  <si>
    <t>Instalación de pantalla de 50” en los ingresos de los Campus para complementar el sistema de control de acceso Arequipa TyA</t>
  </si>
  <si>
    <t>AM001032</t>
  </si>
  <si>
    <t>UTP_Instalación de pantalla de 50” en los ingresos de los Campus para complementar el sistema de control de acceso_Arequipa Tacna y Arica</t>
  </si>
  <si>
    <t>SSGG_073</t>
  </si>
  <si>
    <t>Instalación de pantalla de 50” en los ingresos de los Campus para complementar el sistema de control de acceso LC TTA</t>
  </si>
  <si>
    <t>AM001028</t>
  </si>
  <si>
    <t>UTP_Instalación de pantalla de 50” en los ingresos de los Campus para complementar el sistema de control de acceso_LC Torre Arequipa</t>
  </si>
  <si>
    <t>SSGG_074</t>
  </si>
  <si>
    <t xml:space="preserve">jfajardo@utp,edu,pe / </t>
  </si>
  <si>
    <t>Instalación de pantalla de 50” en los ingresos de los Campus para complementar el sistema de control de acceso Parra 1</t>
  </si>
  <si>
    <t>AM001033</t>
  </si>
  <si>
    <t>UTP_Instalación de pantalla de 50” en los ingresos de los Campus para complementar el sistema de control de acceso_Arequipa Parra 1</t>
  </si>
  <si>
    <t>SSGG_075</t>
  </si>
  <si>
    <t>Instalación de pantalla de 50” en los ingresos de los Campus para complementar el sistema de control de acceso Parra 2</t>
  </si>
  <si>
    <t>AM001034</t>
  </si>
  <si>
    <t>UTP_Instalación de pantalla de 50” en los ingresos de los Campus para complementar el sistema de control de acceso_Arequipa Parra 2</t>
  </si>
  <si>
    <t>SSGG_076</t>
  </si>
  <si>
    <t>Instalación de pantalla de 50” en los ingresos de los Campus para complementar el sistema de control de acceso Sede Central</t>
  </si>
  <si>
    <t>AM001029</t>
  </si>
  <si>
    <t>SSGG_077</t>
  </si>
  <si>
    <t>Instalación de pantalla de 50” en los ingresos de los Campus para complementar el sistema de control de acceso Torre II</t>
  </si>
  <si>
    <t>AM001027</t>
  </si>
  <si>
    <t>UTP_Instalación de pantalla de 50” en los ingresos de los Campus para complementar el sistema de control de acceso_LC Torre II</t>
  </si>
  <si>
    <t>SSGG_078</t>
  </si>
  <si>
    <t>Instalación de plataforma con baranda para MP de paneles solares 40 mL</t>
  </si>
  <si>
    <t>SC-0000116760-2026</t>
  </si>
  <si>
    <t>OC-0000127083-2026</t>
  </si>
  <si>
    <t>PROY1295</t>
  </si>
  <si>
    <t>UTP_Instalación de plataforma con baranda para MP de paneles solares 40 Ml</t>
  </si>
  <si>
    <t>SSGG_079</t>
  </si>
  <si>
    <t>Eloy Pocohuanca / Alberto Fajardo Corpancho  / Luis Alberto Garcia Durand</t>
  </si>
  <si>
    <t>epocohuanc@utp,edu,pe/ jfajardo@utp,edu,pe / lgarciadd@utp,edu,pe</t>
  </si>
  <si>
    <t>937 029 622 / 960 961 878 / 958 209 824</t>
  </si>
  <si>
    <t>Instalar una puerta con facial en el ingreso a la Terraza 2 - Piso 1</t>
  </si>
  <si>
    <t>Proyectos Ops / Seguridad/Mantenimiento</t>
  </si>
  <si>
    <t>SC-0000125775-2026</t>
  </si>
  <si>
    <t>PROY1296</t>
  </si>
  <si>
    <t>UTP_Instalar una puerta con facial en el ingreso a la Terraza 2 - Piso 1</t>
  </si>
  <si>
    <t>OC pendiente de VB por Luis Garcia</t>
  </si>
  <si>
    <t>SSGG_080</t>
  </si>
  <si>
    <t>Monitoreo remoto del panel BSCI y Grupo Electrógeno</t>
  </si>
  <si>
    <t>SC-0000132723-2026</t>
  </si>
  <si>
    <t>PROY1297</t>
  </si>
  <si>
    <t>UTP_Monitoreo remoto del panel BSCI y Grupo Electrógeno</t>
  </si>
  <si>
    <t>SSGG_081</t>
  </si>
  <si>
    <t>SC-0000132729-2026</t>
  </si>
  <si>
    <t>PROY1298</t>
  </si>
  <si>
    <t>SSGG_082</t>
  </si>
  <si>
    <t>SC-0000132731-2026</t>
  </si>
  <si>
    <t xml:space="preserve">	
PROY1303</t>
  </si>
  <si>
    <t>SSGG_083</t>
  </si>
  <si>
    <t>SC-0000132732-2026</t>
  </si>
  <si>
    <t>PROY1304</t>
  </si>
  <si>
    <t>SSGG_084</t>
  </si>
  <si>
    <t>SC-0000132733-2026</t>
  </si>
  <si>
    <t>PROY1308</t>
  </si>
  <si>
    <t>SSGG_085</t>
  </si>
  <si>
    <t>SC-0000132734-2026</t>
  </si>
  <si>
    <t>PROY1309</t>
  </si>
  <si>
    <t>SSGG_086</t>
  </si>
  <si>
    <t>SC-0000132735-2026</t>
  </si>
  <si>
    <t>PROY1310</t>
  </si>
  <si>
    <t>SSGG_087</t>
  </si>
  <si>
    <t>SC-0000132736-2026</t>
  </si>
  <si>
    <t>PROY1311</t>
  </si>
  <si>
    <t>SSGG_088</t>
  </si>
  <si>
    <t>SC-0000132737-2026</t>
  </si>
  <si>
    <t>PROY1312</t>
  </si>
  <si>
    <t>SSGG_089</t>
  </si>
  <si>
    <t>SC-0000132738-2026</t>
  </si>
  <si>
    <t>PROY1313</t>
  </si>
  <si>
    <t>SSGG_090</t>
  </si>
  <si>
    <t>SC-0000132739-2026</t>
  </si>
  <si>
    <t>PROY1314</t>
  </si>
  <si>
    <t>SSGG_091</t>
  </si>
  <si>
    <t>SC-0000132740-2026</t>
  </si>
  <si>
    <t xml:space="preserve">	
PROY1315</t>
  </si>
  <si>
    <t>SSGG_092</t>
  </si>
  <si>
    <t>SC-0000132742-2026</t>
  </si>
  <si>
    <t>PROY1316</t>
  </si>
  <si>
    <t>SSGG_093</t>
  </si>
  <si>
    <t>Monitoreo remoto del panel BSCI y Grupo Electrógeno Arequipa TyA</t>
  </si>
  <si>
    <t>SC-0000132743-2026</t>
  </si>
  <si>
    <t>PROY1305</t>
  </si>
  <si>
    <t>SSGG_094</t>
  </si>
  <si>
    <t>Monitoreo remoto del panel BSCI y Grupo Electrógeno Jarrita</t>
  </si>
  <si>
    <t>SC-0000132744-2026</t>
  </si>
  <si>
    <t xml:space="preserve">	
PROY1317</t>
  </si>
  <si>
    <t>SSGG_095</t>
  </si>
  <si>
    <t>Monitoreo remoto del panel BSCI y Grupo Electrógeno LC Torre Arequipa</t>
  </si>
  <si>
    <t>SC-0000132746-2026</t>
  </si>
  <si>
    <t>PROY1300</t>
  </si>
  <si>
    <t>SSGG_096</t>
  </si>
  <si>
    <t>Monitoreo remoto del panel BSCI y Grupo Electrógeno Pacífico</t>
  </si>
  <si>
    <t>SC-0000132747-2026</t>
  </si>
  <si>
    <t>PROY1302</t>
  </si>
  <si>
    <t>SSGG_097</t>
  </si>
  <si>
    <t>Monitoreo remoto del panel BSCI y Grupo Electrógeno Parra 1</t>
  </si>
  <si>
    <t>SC-0000132749-2026</t>
  </si>
  <si>
    <t>PROY1306</t>
  </si>
  <si>
    <t>SSGG_098</t>
  </si>
  <si>
    <t>Monitoreo remoto del panel BSCI y Grupo Electrógeno Parra 2</t>
  </si>
  <si>
    <t>SC-0000132750-2026</t>
  </si>
  <si>
    <t>PROY1307</t>
  </si>
  <si>
    <t>SSGG_099</t>
  </si>
  <si>
    <t>Monitoreo remoto del panel BSCI y Grupo Electrógeno Sede Central</t>
  </si>
  <si>
    <t>SC-0000132752-2026</t>
  </si>
  <si>
    <t>PROY1301</t>
  </si>
  <si>
    <t>SSGG_100</t>
  </si>
  <si>
    <t>Monitoreo remoto del panel BSCI y Grupo Electrógeno Torre II</t>
  </si>
  <si>
    <t>SC-0000132753-2026</t>
  </si>
  <si>
    <t xml:space="preserve">	
PROY1299</t>
  </si>
  <si>
    <t>Pendiente Raul Illanes</t>
  </si>
  <si>
    <t>SSGG_101</t>
  </si>
  <si>
    <t>Proyecto de estandarización de cafeterías Arequipa Parra 1</t>
  </si>
  <si>
    <t xml:space="preserve"> OC-0000133495-2026 / OC-0000135463-2026 / OC-0000142559-2026</t>
  </si>
  <si>
    <t>04/06 / 15/06 08/04</t>
  </si>
  <si>
    <t>AM000981</t>
  </si>
  <si>
    <t>UTP_Proyecto de estandarización de cafeterías Arequipa Parra 2</t>
  </si>
  <si>
    <t>SC-0000126650-2026 (GENERICO) / NR OC-0000133495-2026 enviado</t>
  </si>
  <si>
    <t>REVISAR MONTO</t>
  </si>
  <si>
    <t>SSGG_102</t>
  </si>
  <si>
    <t>Proyecto de estandarización de cafeterías Arequipa TyA</t>
  </si>
  <si>
    <t xml:space="preserve"> OC-0000133495-2026/OC-0000142563-2026</t>
  </si>
  <si>
    <t>04/06 /  08/04</t>
  </si>
  <si>
    <t>AM000980</t>
  </si>
  <si>
    <t>UTP_Proyecto de estandarización de cafeterías Arequipa Parra 1</t>
  </si>
  <si>
    <t>SC-0000126650-2026 (GENERICO) / NR OC-0000133495-2026 enviado/OC-0000142563-2026 NR ENVIADA</t>
  </si>
  <si>
    <t>SSGG_103</t>
  </si>
  <si>
    <t xml:space="preserve">Eloy Pocohuanca / Alberto Fajardo Corpancho / Elmer Raul ILLANES PAUCAR </t>
  </si>
  <si>
    <t>epocohuanc@utp,edu,pe / jfajardo@utp,edu,pe / eillanes@utp,edu,pe</t>
  </si>
  <si>
    <t>937 029 622 / 960 961 878 / 994 690 404</t>
  </si>
  <si>
    <t xml:space="preserve">Proyecto de estandarización de depósitos </t>
  </si>
  <si>
    <t>Proyectos Ops / Seguridad / Mantenimiento</t>
  </si>
  <si>
    <t>SC-0000138304-2026</t>
  </si>
  <si>
    <t>PROY1320</t>
  </si>
  <si>
    <t xml:space="preserve">UTP_Proyecto de estandarización de depósitos </t>
  </si>
  <si>
    <t>SSGG_104</t>
  </si>
  <si>
    <t>SC-0000138330-2026</t>
  </si>
  <si>
    <t>PROY1321</t>
  </si>
  <si>
    <t>SSGG_105</t>
  </si>
  <si>
    <t>SC-0000138339-2026</t>
  </si>
  <si>
    <t>PROY1322</t>
  </si>
  <si>
    <t>SSGG_106</t>
  </si>
  <si>
    <t>SC-0000138343-2026</t>
  </si>
  <si>
    <t>PROY1323</t>
  </si>
  <si>
    <t>SSGG_107</t>
  </si>
  <si>
    <t xml:space="preserve"> SC-0000138344-2026</t>
  </si>
  <si>
    <t>PROY1328</t>
  </si>
  <si>
    <t>SSGG_108</t>
  </si>
  <si>
    <t>SC-0000138347-2026</t>
  </si>
  <si>
    <t>PROY1329</t>
  </si>
  <si>
    <t>SSGG_109</t>
  </si>
  <si>
    <t>Proyecto de estandarización de depósitos Arequipa Parra 1</t>
  </si>
  <si>
    <t>SC-0000138348-2026</t>
  </si>
  <si>
    <t>PROY1319</t>
  </si>
  <si>
    <t>SSGG_110</t>
  </si>
  <si>
    <t>Proyecto de estandarización de depósitos Arequipa TyA</t>
  </si>
  <si>
    <t>SC-0000138349-2026</t>
  </si>
  <si>
    <t>PROY1318</t>
  </si>
  <si>
    <t>SSGG_111</t>
  </si>
  <si>
    <t>Proyecto de estandarización de depósitos LC Sede Central</t>
  </si>
  <si>
    <t>SC-0000138351-2026</t>
  </si>
  <si>
    <t>PROY1326</t>
  </si>
  <si>
    <t>SSGG_112</t>
  </si>
  <si>
    <t>Proyecto de estandarización de depósitos LC Torre II</t>
  </si>
  <si>
    <t>SC-0000138352-2026</t>
  </si>
  <si>
    <t>PROY1324</t>
  </si>
  <si>
    <t>En etapa de definición de alcance Raul y Eloy</t>
  </si>
  <si>
    <t>SSGG_113</t>
  </si>
  <si>
    <t>Proyecto de estandarización de depósitos LC TTA</t>
  </si>
  <si>
    <t>SC-0000138354-2026</t>
  </si>
  <si>
    <t>PROY1325</t>
  </si>
  <si>
    <t>SSGG_114</t>
  </si>
  <si>
    <t>Proyecto de estandarización de depósitos Pacífico</t>
  </si>
  <si>
    <t>SC-0000138356-2026</t>
  </si>
  <si>
    <t>PROY1327</t>
  </si>
  <si>
    <t>SSGG_115</t>
  </si>
  <si>
    <t>Eloy / Alfredo / Alberto / Raul</t>
  </si>
  <si>
    <t>Proyecto de estandarización de extintores laboratorios especializados</t>
  </si>
  <si>
    <t>Proyectos Ops / Labs / Seguridad</t>
  </si>
  <si>
    <t>SC-0000118293-2026</t>
  </si>
  <si>
    <t>OC-0000125791-2026</t>
  </si>
  <si>
    <t>AM000992</t>
  </si>
  <si>
    <t>UTP_Proyecto de estandarización de extintores laboratorios especializados_Lima Norte</t>
  </si>
  <si>
    <t>SSGG_116</t>
  </si>
  <si>
    <t>AM000993</t>
  </si>
  <si>
    <t>UTP_Proyecto de estandarización de extintores laboratorios especializados_Lima Sur</t>
  </si>
  <si>
    <t>Cubierto con recursos internos</t>
  </si>
  <si>
    <t>SSGG_117</t>
  </si>
  <si>
    <t>AM000997</t>
  </si>
  <si>
    <t>UTP_Proyecto de estandarización de extintores laboratorios especializados_Lima Este</t>
  </si>
  <si>
    <t>SSGG_118</t>
  </si>
  <si>
    <t>SC-0000118304-2026</t>
  </si>
  <si>
    <t xml:space="preserve">OC-0000123176-2026 </t>
  </si>
  <si>
    <t>AM000998</t>
  </si>
  <si>
    <t>UTP_Proyecto de estandarización de extintores laboratorios especializados_SJL</t>
  </si>
  <si>
    <t>SSGG_119</t>
  </si>
  <si>
    <t>SC-0000118306-2026 / SC-0000127190-2026</t>
  </si>
  <si>
    <t>OC-0000123286-2026 / OC-0000131210-2026</t>
  </si>
  <si>
    <t>10/03 / 21/05</t>
  </si>
  <si>
    <t>AM001003</t>
  </si>
  <si>
    <t>UTP_Proyecto de estandarización de extintores laboratorios especializados_Ica</t>
  </si>
  <si>
    <t>OC-0000131210-2026 EN PROCESO DE ENTREGA</t>
  </si>
  <si>
    <t>SSGG_120</t>
  </si>
  <si>
    <t>SC-0000118308-2026</t>
  </si>
  <si>
    <t>OC-0000123277-2026</t>
  </si>
  <si>
    <t>AM001004</t>
  </si>
  <si>
    <t>UTP_Proyecto de estandarización de extintores laboratorios especializados_Huancayo</t>
  </si>
  <si>
    <t>SSGG_121</t>
  </si>
  <si>
    <t>SC-0000118309-2026 / SC-0000127188-2026</t>
  </si>
  <si>
    <t>OC-0000123278-2026 / OC-0000131204-2026</t>
  </si>
  <si>
    <t>AM001005</t>
  </si>
  <si>
    <t>UTP_Proyecto de estandarización de extintores laboratorios especializados_Chiclayo</t>
  </si>
  <si>
    <t>SSGG_122</t>
  </si>
  <si>
    <t>SC-0000118310-2026 / SC-0000127193-2026</t>
  </si>
  <si>
    <t>OC-0000123285-2026 / OC-0000131213-2026</t>
  </si>
  <si>
    <t>AM001006</t>
  </si>
  <si>
    <t>UTP_Proyecto de estandarización de extintores laboratorios especializados_Piura</t>
  </si>
  <si>
    <t>SSGG_123</t>
  </si>
  <si>
    <t>SC-0000118313-2026 / SC-0000127194-2026</t>
  </si>
  <si>
    <t>OC-0000123280-2026 / OC-0000131216-2026</t>
  </si>
  <si>
    <t>AM001007</t>
  </si>
  <si>
    <t>UTP_Proyecto de estandarización de extintores laboratorios especializados_Trujillo</t>
  </si>
  <si>
    <t>SSGG_124</t>
  </si>
  <si>
    <t>SC-0000118314-2026 / SC-0000127189-2026</t>
  </si>
  <si>
    <t>OC-0000123283-2026 / OC-0000131209-2026</t>
  </si>
  <si>
    <t>AM001008</t>
  </si>
  <si>
    <t>UTP_Proyecto de estandarización de extintores laboratorios especializados_Chimbote</t>
  </si>
  <si>
    <t>SSGG_125</t>
  </si>
  <si>
    <t>Proyecto de estandarización de extintores laboratorios especializados Arequipa Parra 1</t>
  </si>
  <si>
    <t>SC-0000118320-2026</t>
  </si>
  <si>
    <t>OC-0000123262-2026</t>
  </si>
  <si>
    <t>AM001001</t>
  </si>
  <si>
    <t>UTP_Proyecto de estandarización de extintores laboratorios especializados_Arequipa Parra 1</t>
  </si>
  <si>
    <t>SSGG_126</t>
  </si>
  <si>
    <t>Proyecto de estandarización de extintores laboratorios especializados Arequipa Parra 2</t>
  </si>
  <si>
    <t>SC-0000118322-2026</t>
  </si>
  <si>
    <t>OC-0000123275-2026</t>
  </si>
  <si>
    <t>AM001002</t>
  </si>
  <si>
    <t>UTP_Proyecto de estandarización de extintores laboratorios especializados_Arequipa Parra 2</t>
  </si>
  <si>
    <t>SSGG_127</t>
  </si>
  <si>
    <t>Proyecto de estandarización de extintores laboratorios especializados Arequipa TyA</t>
  </si>
  <si>
    <t>AM000999</t>
  </si>
  <si>
    <t>UTP_Proyecto de estandarización de extintores laboratorios especializados_Arequipa Tacna y Arica</t>
  </si>
  <si>
    <t>SSGG_128</t>
  </si>
  <si>
    <t>Proyecto de estandarización de extintores laboratorios especializados LC TTA</t>
  </si>
  <si>
    <t>AM000995</t>
  </si>
  <si>
    <t>UTP_Proyecto de estandarización de extintores laboratorios especializados_LC Torre Arequipa</t>
  </si>
  <si>
    <t>SSGG_129</t>
  </si>
  <si>
    <t>Proyecto de estandarización de extintores laboratorios especializados Sede Central</t>
  </si>
  <si>
    <t>SC-0000118548-2026 / SC-0000127192-2026</t>
  </si>
  <si>
    <t>OC-0000123615-2026 / OC-0000131212-2026</t>
  </si>
  <si>
    <t>12/03 / 21/05</t>
  </si>
  <si>
    <t>AM000996</t>
  </si>
  <si>
    <t>UTP_Proyecto de estandarización de extintores laboratorios especializados_LC Sede Central</t>
  </si>
  <si>
    <t>SSGG_130</t>
  </si>
  <si>
    <t>Proyecto de estandarización de extintores laboratorios especializados Torre II</t>
  </si>
  <si>
    <t>AM000994</t>
  </si>
  <si>
    <t>UTP_Proyecto de estandarización de extintores laboratorios especializados_LC Torre II</t>
  </si>
  <si>
    <t>SSGG_131</t>
  </si>
  <si>
    <t>Proyecto de implementación de áreas de esparcimiento II Etapa</t>
  </si>
  <si>
    <t>SC-0000133357-2026 / SC-0000133360-2026</t>
  </si>
  <si>
    <t>OC-0000136766-2026 / OC-0000137932-2026</t>
  </si>
  <si>
    <t>23/06 / 01/07</t>
  </si>
  <si>
    <t>AM000964</t>
  </si>
  <si>
    <t>UTP_Proyecto de implementación de áreas de esparcimiento II Etapa_Lima Norte</t>
  </si>
  <si>
    <t>NR OC-0000136766-2026 enviada</t>
  </si>
  <si>
    <t>SSGG_132</t>
  </si>
  <si>
    <t>SC-0000128222-2026 / SC-0000133362-2026 / SC-0000133362-2026</t>
  </si>
  <si>
    <t>15/05/2026 - 17/09</t>
  </si>
  <si>
    <t>OC-0000134736-2026 / OC-0000135469-2026</t>
  </si>
  <si>
    <t>AM000965</t>
  </si>
  <si>
    <t>UTP_Proyecto de implementación de áreas de esparcimiento II Etapa_Lima Sur</t>
  </si>
  <si>
    <t>NR OC-0000134736-2026 , OC-0000135469-2026 Enviados</t>
  </si>
  <si>
    <t>SSGG_133</t>
  </si>
  <si>
    <t>33473.83</t>
  </si>
  <si>
    <t>SC-0000126648-2026 / SC-0000126649-2026 / SC-0000126650-2026 / SC-0000138457-2026/SC-0000134265-2026/SC-0000134267-2026</t>
  </si>
  <si>
    <t>OC-0000132199-2026 /OC-0000133495-2026 / OC-0000136647-2026/OC-0000142514-2026/OC-0000136647-2026 / OC-0000140619-2026/OC-0000145508-2026</t>
  </si>
  <si>
    <t>25/05  04/06   22/06  23/06   22/07  21/07</t>
  </si>
  <si>
    <t>AM000969</t>
  </si>
  <si>
    <t>UTP_Proyecto de implementación de áreas de esparcimiento II Etapa_Ate</t>
  </si>
  <si>
    <t>SC-0000126649-2026 / SC-0000126650-2026 (GENERICO)/NR OC-0000132199-2026 enviada/ NR OC-0000136647-2026 ENVIADA/OC-0000145508-2026 TIENE NR</t>
  </si>
  <si>
    <t>SSGG_134</t>
  </si>
  <si>
    <t>SC-0000137451-2026/SC-0000143405-2026</t>
  </si>
  <si>
    <t>31/07 09/09</t>
  </si>
  <si>
    <t>OC-0000141912-2026/OC-0000144205-2026</t>
  </si>
  <si>
    <t>31/07 18/08</t>
  </si>
  <si>
    <t>AM000970</t>
  </si>
  <si>
    <t>UTP_Proyecto de implementación de áreas de esparcimiento II Etapa_SJL</t>
  </si>
  <si>
    <t>Consultar con Jossi - Diseño</t>
  </si>
  <si>
    <t>SSGG_135</t>
  </si>
  <si>
    <t>SC-0000126648-2026 / SC-0000126649-2026/ SC-0000136124-2026</t>
  </si>
  <si>
    <t xml:space="preserve">OC-0000142538-2026 </t>
  </si>
  <si>
    <t>AM000974</t>
  </si>
  <si>
    <t>UTP_Proyecto de implementación de áreas de esparcimiento II Etapa_Ica</t>
  </si>
  <si>
    <t>Consultar con Jossi</t>
  </si>
  <si>
    <t>SSGG_136</t>
  </si>
  <si>
    <t>SC-0000136125-2026/ SC-0000136124-2026</t>
  </si>
  <si>
    <t>OC-0000141564-2026/OC-0000142535-202/OC-0000142535-2026</t>
  </si>
  <si>
    <t>25/07  08/04</t>
  </si>
  <si>
    <t>AM000975</t>
  </si>
  <si>
    <t>UTP_Proyecto de implementación de áreas de esparcimiento II Etapa_Huancayo</t>
  </si>
  <si>
    <t>En proceso con Jossi/OC-0000142535-2026 YA TIENE NR</t>
  </si>
  <si>
    <t>SSGG_137</t>
  </si>
  <si>
    <t>SC-0000133361-2026/SC-0000140277-2026</t>
  </si>
  <si>
    <t>OC-0000138636-2026</t>
  </si>
  <si>
    <t>AM000976</t>
  </si>
  <si>
    <t>UTP_Proyecto de implementación de áreas de esparcimiento II Etapa_Chiclayo</t>
  </si>
  <si>
    <t>En proceso con Jossi</t>
  </si>
  <si>
    <t>SSGG_138</t>
  </si>
  <si>
    <t>SC-0000134265-2026 / SC-0000134267-2026</t>
  </si>
  <si>
    <t>AM000977</t>
  </si>
  <si>
    <t>UTP_Proyecto de implementación de áreas de esparcimiento II Etapa_Piura</t>
  </si>
  <si>
    <t>SSGG_139</t>
  </si>
  <si>
    <t>SC-0000136124-2026/SC-0000136125-2026</t>
  </si>
  <si>
    <t>OC-0000142541-2026/ OC-0000141749-2026</t>
  </si>
  <si>
    <t>08/04 30/07</t>
  </si>
  <si>
    <t>AM000978</t>
  </si>
  <si>
    <t>UTP_Proyecto de implementación de áreas de esparcimiento II Etapa_Trujillo</t>
  </si>
  <si>
    <t>En proceso con Jossi/ OC-0000142541-2026 TIENE NR</t>
  </si>
  <si>
    <t>SSGG_140</t>
  </si>
  <si>
    <t>AM000979</t>
  </si>
  <si>
    <t>UTP_Proyecto de implementación de áreas de esparcimiento II Etapa_Chimbote</t>
  </si>
  <si>
    <t>SSGG_141</t>
  </si>
  <si>
    <t>Proyecto de implementación de áreas de esparcimiento II Etapa Arequipa Parra 1</t>
  </si>
  <si>
    <t>SC-0000136124-2026</t>
  </si>
  <si>
    <t xml:space="preserve"> OC-0000142520-2026/ OC-0000142524-2026/OC-0000141900-2026</t>
  </si>
  <si>
    <t>08/04  08/04</t>
  </si>
  <si>
    <t>AM000972</t>
  </si>
  <si>
    <t>UTP_Proyecto de implementación de áreas de esparcimiento II Etapa_Arequipa Parra 1</t>
  </si>
  <si>
    <t>En proceso con Jossi/ OC-0000142520-2026 TINEN NR/OC-0000141900-2026TIENE NR</t>
  </si>
  <si>
    <t>SSGG_142</t>
  </si>
  <si>
    <t>Proyecto de implementación de áreas de esparcimiento II Etapa Arequipa Parra 2</t>
  </si>
  <si>
    <t>AM000973</t>
  </si>
  <si>
    <t>UTP_Proyecto de implementación de áreas de esparcimiento II_Arequipa Parra 2</t>
  </si>
  <si>
    <t>SSGG_143</t>
  </si>
  <si>
    <t>Proyecto de implementación de áreas de esparcimiento II Etapa Arequipa TyA</t>
  </si>
  <si>
    <t xml:space="preserve">OC-0000142529-2026 </t>
  </si>
  <si>
    <t>AM000971</t>
  </si>
  <si>
    <t>UTP_Proyecto de implementación de áreas de esparcimiento II Etapa_Arequipa Tacna y Arica</t>
  </si>
  <si>
    <t>SSGG_144</t>
  </si>
  <si>
    <t>Proyecto de implementación de áreas de esparcimiento II Etapa LC TTA</t>
  </si>
  <si>
    <t>AM000967</t>
  </si>
  <si>
    <t>UTP_Proyecto de implementación de áreas de esparcimiento II Etapa_Lima Centro</t>
  </si>
  <si>
    <t>SSGG_145</t>
  </si>
  <si>
    <t>Proyecto de implementación de áreas de esparcimiento II Etapa Pacífico</t>
  </si>
  <si>
    <t>SC-0000140273-2026</t>
  </si>
  <si>
    <t>AM000968</t>
  </si>
  <si>
    <t>UTP_Proyecto de implementación de áreas de esparcimiento II Etapa_LC Pacifico</t>
  </si>
  <si>
    <t>Consultar Jossi</t>
  </si>
  <si>
    <t>SSGG_146</t>
  </si>
  <si>
    <t>Proyecto de implementación de áreas de esparcimiento II Etapa Sede Central</t>
  </si>
  <si>
    <t>AM001206</t>
  </si>
  <si>
    <t>UTP_PTT116_Implementación de áreas de esparcimiento II Etapa Sede Central</t>
  </si>
  <si>
    <t>SSGG_147</t>
  </si>
  <si>
    <t>Proyecto de implementación de áreas de esparcimiento II Etapa Torre II</t>
  </si>
  <si>
    <t>AM000966</t>
  </si>
  <si>
    <t>UTP_Proyecto de implementación de áreas de esparcimiento II Etapa_LC Torre II</t>
  </si>
  <si>
    <t>Conversar con Jossi</t>
  </si>
  <si>
    <t>SSGG_148</t>
  </si>
  <si>
    <t>Proyecto de reductores de velocidad en los estacionamientos (incluye elaboración del diseño y ejecución)</t>
  </si>
  <si>
    <t>SC-0000129989-2026</t>
  </si>
  <si>
    <t>PROY1330</t>
  </si>
  <si>
    <t>UTP_Proyecto de reductores de velocidad en los estacionamientos (incluye elaboración del diseño y ejecución)</t>
  </si>
  <si>
    <t>SSGG_149</t>
  </si>
  <si>
    <t>PROY1331</t>
  </si>
  <si>
    <t>SSGG_150</t>
  </si>
  <si>
    <t>PROY1336</t>
  </si>
  <si>
    <t>SSGG_151</t>
  </si>
  <si>
    <t>PROY1337</t>
  </si>
  <si>
    <t>SSGG_152</t>
  </si>
  <si>
    <t>PROY1341</t>
  </si>
  <si>
    <t>Consultar Rául</t>
  </si>
  <si>
    <t>SSGG_153</t>
  </si>
  <si>
    <t>PROY1342</t>
  </si>
  <si>
    <t>SSGG_154</t>
  </si>
  <si>
    <t>PROY1343</t>
  </si>
  <si>
    <t>SSGG_155</t>
  </si>
  <si>
    <t>PROY1344</t>
  </si>
  <si>
    <t>SSGG_156</t>
  </si>
  <si>
    <t>PROY1345</t>
  </si>
  <si>
    <t>SSGG_157</t>
  </si>
  <si>
    <t>PROY1346</t>
  </si>
  <si>
    <t>SSGG_158</t>
  </si>
  <si>
    <t>INGRESAR SC MARIANNE</t>
  </si>
  <si>
    <t>PROY1347</t>
  </si>
  <si>
    <t>SSGG_159</t>
  </si>
  <si>
    <t>PROY1348</t>
  </si>
  <si>
    <t>SSGG_160</t>
  </si>
  <si>
    <t>PROY1349</t>
  </si>
  <si>
    <t>SSGG_161</t>
  </si>
  <si>
    <t>Proyecto de reductores de velocidad en los estacionamientos (incluye elaboración del diseño y ejecución) Arequipa Parra 1</t>
  </si>
  <si>
    <t>PROY1339</t>
  </si>
  <si>
    <t>SSGG_162</t>
  </si>
  <si>
    <t>Proyecto de reductores de velocidad en los estacionamientos (incluye elaboración del diseño y ejecución) Arequipa Parra 2</t>
  </si>
  <si>
    <t>PROY1340</t>
  </si>
  <si>
    <t>SSGG_163</t>
  </si>
  <si>
    <t>Proyecto de reductores de velocidad en los estacionamientos (incluye elaboración del diseño y ejecución) Arequipa TyA</t>
  </si>
  <si>
    <t>PROY1338</t>
  </si>
  <si>
    <t>SSGG_164</t>
  </si>
  <si>
    <t>Proyecto de reductores de velocidad en los estacionamientos (incluye elaboración del diseño y ejecución) LC TTA</t>
  </si>
  <si>
    <t>PROY1333</t>
  </si>
  <si>
    <t>SSGG_165</t>
  </si>
  <si>
    <t>Proyecto de reductores de velocidad en los estacionamientos (incluye elaboración del diseño y ejecución) Pacífico</t>
  </si>
  <si>
    <t>PROY1335</t>
  </si>
  <si>
    <t>SSGG_166</t>
  </si>
  <si>
    <t>Proyecto de reductores de velocidad en los estacionamientos (incluye elaboración del diseño y ejecución) Sede Central</t>
  </si>
  <si>
    <t>PROY1334</t>
  </si>
  <si>
    <t>SSGG_167</t>
  </si>
  <si>
    <t>Proyecto de reductores de velocidad en los estacionamientos (incluye elaboración del diseño y ejecución) Torre II</t>
  </si>
  <si>
    <t>PROY1332</t>
  </si>
  <si>
    <t>SSGG_168</t>
  </si>
  <si>
    <t>Proyectos de estandarización de ambientes de Vida Universitaria/Dojo</t>
  </si>
  <si>
    <t>AM000984</t>
  </si>
  <si>
    <t>UTP_Proyectos de estandarización de ambientes de Vida Universitaria/Dojo_Lima Norte</t>
  </si>
  <si>
    <t>SSGG_169</t>
  </si>
  <si>
    <t>AM000985</t>
  </si>
  <si>
    <t>UTP_Proyectos de estandarización de ambientes de Vida Universitaria/Dojo_Lima Sur</t>
  </si>
  <si>
    <t>SSGG_170</t>
  </si>
  <si>
    <t>AM000986</t>
  </si>
  <si>
    <t>UTP_Proyectos de estandarización de ambientes de Vida Universitaria/Dojo_Lima Este</t>
  </si>
  <si>
    <t>SSGG_171</t>
  </si>
  <si>
    <t>AM000988</t>
  </si>
  <si>
    <t>UTP_Proyectos de estandarización de ambientes de Vida Universitaria/Dojo_Chimbote</t>
  </si>
  <si>
    <t>SSGG_172</t>
  </si>
  <si>
    <t>AM000989</t>
  </si>
  <si>
    <t>UTP_Proyectos de estandarización de ambientes de Vida Universitaria/Dojo_Piura</t>
  </si>
  <si>
    <t>SSGG_173</t>
  </si>
  <si>
    <t>AM000990</t>
  </si>
  <si>
    <t>UTP_Proyectos de estandarización de ambientes de Vida Universitaria/Dojo_Huancayo</t>
  </si>
  <si>
    <t>SSGG_174</t>
  </si>
  <si>
    <t>AM000991</t>
  </si>
  <si>
    <t>UTP_Proyectos de estandarización de ambientes de Vida Universitaria/Dojo_Trujillo</t>
  </si>
  <si>
    <t>SSGG_175</t>
  </si>
  <si>
    <t>Proyectos de estandarización de ambientes de Vida Universitaria/Dojo Arequipa Quiroz</t>
  </si>
  <si>
    <t>AM000987</t>
  </si>
  <si>
    <t>UTP_Proyectos de estandarización de ambientes de Vida Universitaria/Dojo_Arequipa Quiroz</t>
  </si>
  <si>
    <t>SSGG_176</t>
  </si>
  <si>
    <t>Proyectos de estandarización de ambientes de Vida Universitaria/Dojo Casa de la Cultura</t>
  </si>
  <si>
    <t>UTP AREQUIPA 986-990 - LIMA</t>
  </si>
  <si>
    <t>AM000983</t>
  </si>
  <si>
    <t>UTP_Proyectos de estandarización de ambientes de Vida Universitaria/Dojo_LC Casa de la Cultura</t>
  </si>
  <si>
    <t>Pendiente evaluar si se cancela</t>
  </si>
  <si>
    <t>SSGG_177</t>
  </si>
  <si>
    <t>Proyectos de estandarización de ambientes de Vida Universitaria/Dojo Torre II</t>
  </si>
  <si>
    <t>AM000982</t>
  </si>
  <si>
    <t>UTP_Proyectos de estandarización de ambientes de Vida Universitaria/Dojo_LC Torre II</t>
  </si>
  <si>
    <t xml:space="preserve">Pendiente por definir </t>
  </si>
  <si>
    <t>SSGG_178</t>
  </si>
  <si>
    <t>Reemplazo del techo de policarbonato en la terraza 2 azotea ingreso principal e ingreso vehicular</t>
  </si>
  <si>
    <t>PROY1350</t>
  </si>
  <si>
    <t>UTP_Reemplazo del techo de policarbonato en la terraza 2 azotea ingreso principal e ingreso vehicular</t>
  </si>
  <si>
    <t>falta alcance tecnico</t>
  </si>
  <si>
    <t>SSGG_179</t>
  </si>
  <si>
    <t>Eloy Pocohuanca/Luis García</t>
  </si>
  <si>
    <t>Remodelación del comedor administrativo y balcón en el piso 14</t>
  </si>
  <si>
    <t>PROY1351</t>
  </si>
  <si>
    <t>UTP_Remodelación del comedor administrativo y balcón en el piso 14</t>
  </si>
  <si>
    <t>Con Josy</t>
  </si>
  <si>
    <t>SSGG_180</t>
  </si>
  <si>
    <t>Respaldar la energia del SAE y el CAD desde el TABLERO DE TRANSFERENCIA LC TTA</t>
  </si>
  <si>
    <t>SC-0000117000-2026</t>
  </si>
  <si>
    <t>OC-0000123393-2026</t>
  </si>
  <si>
    <t>PROY1352</t>
  </si>
  <si>
    <t>UTP_Respaldar la energia del SAE y el CAD desde el TABLERO DE TRANSFERENCIA</t>
  </si>
  <si>
    <t>FALTA ENVIAR NR / SC registrada por Maria Gonzales</t>
  </si>
  <si>
    <t>SSGG_181</t>
  </si>
  <si>
    <t>Cambio de tuberías Torre Tecnológica Arequipa</t>
  </si>
  <si>
    <t>PROY1425</t>
  </si>
  <si>
    <t>UTP_Av  Arequipa 265_Renovación red de agua</t>
  </si>
  <si>
    <t>Gestionar la creación de proyecto</t>
  </si>
  <si>
    <t>SSGG_182</t>
  </si>
  <si>
    <t>Respaldar la energia del SAE y el CAD desde el TABLERO DE TRANSFERENCIA Torre II</t>
  </si>
  <si>
    <t>SC-0000118066-2026</t>
  </si>
  <si>
    <t>OC-0000139833-2026</t>
  </si>
  <si>
    <t>PROY1353</t>
  </si>
  <si>
    <t>SSGG_183</t>
  </si>
  <si>
    <t>Drenajes de Lima Sur, que generan muchos atoros</t>
  </si>
  <si>
    <t>MEJ00276</t>
  </si>
  <si>
    <t>UTP_LS_Drenajes_Lima Sur</t>
  </si>
  <si>
    <t>NUEVA INICIATIVA A SOLICITUD DE ELIDA</t>
  </si>
  <si>
    <t>SSGG_184</t>
  </si>
  <si>
    <t>Implementación de armario de respuesta a emergencias que cuenten con el equipamiento básico para la atención de emergencias, SJL 2</t>
  </si>
  <si>
    <t>Implementación de armario de respuesta a emergencias que cuenten con el equipamiento básico para la atención de emergencias</t>
  </si>
  <si>
    <t>UTP AV.EL SOL MZ.G LTE.14 SJL - LIMA</t>
  </si>
  <si>
    <t>SC-0000136582-2026</t>
  </si>
  <si>
    <t>OC-0000139412-2026</t>
  </si>
  <si>
    <t>AM001300</t>
  </si>
  <si>
    <t>UTP_El Sol Lt14 SJL_Impl. Armario</t>
  </si>
  <si>
    <t>IMS CENTAUROS</t>
  </si>
  <si>
    <t>Nueva iniciativa</t>
  </si>
  <si>
    <t>SSGG_185</t>
  </si>
  <si>
    <t>Implementación de armario de respuesta a emergencias que cuenten con el equipamiento básico para la atención de emergencias, Ate Salud</t>
  </si>
  <si>
    <t>AV. N. AYLLON KM11.60 LOTE 96 ATE</t>
  </si>
  <si>
    <t>SC-0000136585-2026</t>
  </si>
  <si>
    <t>AM001301</t>
  </si>
  <si>
    <t>UTP_AYLLON KM11.60_Impl. Armario</t>
  </si>
  <si>
    <t>SSGG_186</t>
  </si>
  <si>
    <t>Implementación de armario de respuesta a emergencias que cuenten con el equipamiento básico para la atención de emergencias, Sede Central</t>
  </si>
  <si>
    <t>UTP PETITTHOURS 116 -  LIMA</t>
  </si>
  <si>
    <t>SC-0000136588-2026</t>
  </si>
  <si>
    <t>AM001302</t>
  </si>
  <si>
    <t>UTP_PETITTHOURS 116_Impl. Armario</t>
  </si>
  <si>
    <t>SSGG_187</t>
  </si>
  <si>
    <t>Implementación de armario de respuesta a emergencias que cuenten con el equipamiento básico para la atención de emergencias, Pacifico</t>
  </si>
  <si>
    <t xml:space="preserve">UTP AREQUIPA 660- 670 - LIMA </t>
  </si>
  <si>
    <t>SC-0000136589-2026</t>
  </si>
  <si>
    <t>AM001303</t>
  </si>
  <si>
    <t>UTP_AREQUIPA 660- 670_Impl. Armario</t>
  </si>
  <si>
    <t>SSGG_188</t>
  </si>
  <si>
    <t>Implementación de armario de respuesta a emergencias que cuenten con el equipamiento básico para la atención de emergencias, Jarrita</t>
  </si>
  <si>
    <t>SC-0000136590-2026</t>
  </si>
  <si>
    <t>AM001304</t>
  </si>
  <si>
    <t>UTP_PETIT THOURS 170-198_Impl. Armario</t>
  </si>
  <si>
    <t>SSGG_189</t>
  </si>
  <si>
    <t>Implementación de armario de respuesta a emergencias que cuenten con el equipamiento básico para la atención de emergencias, Parra I</t>
  </si>
  <si>
    <t>UTP PARRA 201-203 -  AREQUIPA</t>
  </si>
  <si>
    <t>SC-0000136592-2026</t>
  </si>
  <si>
    <t>AM001305</t>
  </si>
  <si>
    <t>UTP_PARRA 201-203_Impl. Armario</t>
  </si>
  <si>
    <t>SSGG_190</t>
  </si>
  <si>
    <t>Implementación de armario de respuesta a emergencias que cuenten con el equipamiento básico para la atención de emergencias, Parra II</t>
  </si>
  <si>
    <t>SC-0000136593-2026</t>
  </si>
  <si>
    <t>AM001306</t>
  </si>
  <si>
    <t>UTP_PARRA WASHINGT 217-219_Impl. Armario</t>
  </si>
  <si>
    <t>SSGG_191</t>
  </si>
  <si>
    <t>Implementación de armario de respuesta a emergencias que cuenten con el equipamiento básico para la atención de emergencias, Parra EPG</t>
  </si>
  <si>
    <t>EPG PARRA WASHINGT 217-219 AREQUIPA</t>
  </si>
  <si>
    <t>SC-0000136594-2026</t>
  </si>
  <si>
    <t>AM001307</t>
  </si>
  <si>
    <t>UTP_EPG PARRA_Impl. Armario</t>
  </si>
  <si>
    <t>SSGG_192</t>
  </si>
  <si>
    <t>Implementación de armario de respuesta a emergencias que cuenten con el equipamiento básico para la atención de emergencias, Polideportivo</t>
  </si>
  <si>
    <t>UTP_TACNA-ARICA 158-160-162</t>
  </si>
  <si>
    <t>SC-0000136595-2026</t>
  </si>
  <si>
    <t>AM001308</t>
  </si>
  <si>
    <t>UTP_TACNA-ARICA_Impl. Armario</t>
  </si>
  <si>
    <t>SSGG_193</t>
  </si>
  <si>
    <t>Implementación de armario de respuesta a emergencias que cuenten con el equipamiento básico para la atención de emergencias, EPG Salaverry</t>
  </si>
  <si>
    <t>EPG - AVENIDA SALAVERRY NUMERO 2449-2451-2445</t>
  </si>
  <si>
    <t>SC-0000136597-2026</t>
  </si>
  <si>
    <t>AM001309</t>
  </si>
  <si>
    <t>UTP_EPG Salaverry_Impl. Armario</t>
  </si>
  <si>
    <t>40</t>
  </si>
  <si>
    <t>AGO 26</t>
  </si>
  <si>
    <t>Nuevo Campus Huánuco - SUNEDU - 12/10</t>
  </si>
  <si>
    <t>Nuevo Campus Huamanga – SUNEDU 29/10</t>
  </si>
  <si>
    <t>Nuevos Laboratorios de Hotelería y Turismo – Lima Centro - ITSE 09/12</t>
  </si>
  <si>
    <t>Proyecto Saco Olivero</t>
  </si>
  <si>
    <t>1 semisótano · 9 pisos · 1 azotea</t>
  </si>
  <si>
    <t>DIC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</si>
</sst>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yyyy\-mm\-dd\ h:mm:ss"/>
  </numFmts>
  <fonts count="10" x14ac:knownFonts="1">
    <font>
      <sz val="11"/>
      <color theme="1"/>
      <name val="Calibri"/>
      <scheme val="minor"/>
    </font>
    <font>
      <b/>
      <sz val="11"/>
      <color rgb="FFFFFFFF"/>
      <name val="Calibri"/>
      <scheme val="minor"/>
    </font>
    <font>
      <sz val="11"/>
      <color theme="1"/>
      <name val="Calibri"/>
    </font>
    <font>
      <sz val="11"/>
      <color theme="1"/>
      <name val="Calibri"/>
      <scheme val="minor"/>
    </font>
    <font>
      <b/>
      <sz val="11"/>
      <color rgb="FF1C1C1A"/>
      <name val="Calibri"/>
      <scheme val="minor"/>
    </font>
    <font>
      <sz val="11"/>
      <name val="Calibri"/>
    </font>
    <font>
      <b/>
      <sz val="11"/>
      <color theme="1"/>
      <name val="Calibri"/>
      <scheme val="minor"/>
    </font>
    <font>
      <sz val="11"/>
      <color theme="1"/>
      <name val="Calibri"/>
      <family val="2"/>
    </font>
    <font>
      <sz val="11"/>
      <name val="Calibri"/>
      <family val="2"/>
    </font>
    <font>
      <sz val="8"/>
      <name val="Calibri"/>
      <family val="2"/>
      <scheme val="minor"/>
    </font>
  </fonts>
  <fills count="4">
    <fill>
      <patternFill patternType="none"/>
    </fill>
    <fill>
      <patternFill patternType="gray125"/>
    </fill>
    <fill>
      <patternFill patternType="solid">
        <fgColor rgb="FFC8161C"/>
        <bgColor rgb="FFC8161C"/>
      </patternFill>
    </fill>
    <fill>
      <patternFill patternType="solid">
        <fgColor rgb="FFDDEFF7"/>
        <bgColor rgb="FFDDEFF7"/>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2">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3" fillId="0" borderId="0" xfId="0" applyFont="1"/>
    <xf numFmtId="0" fontId="1" fillId="2" borderId="1" xfId="0" applyFont="1" applyFill="1" applyBorder="1" applyAlignment="1">
      <alignment horizontal="left" vertical="top" wrapText="1"/>
    </xf>
    <xf numFmtId="0" fontId="2" fillId="0" borderId="0" xfId="0" applyFont="1" applyAlignment="1">
      <alignment vertical="top"/>
    </xf>
    <xf numFmtId="164" fontId="2" fillId="0" borderId="0" xfId="0" applyNumberFormat="1" applyFont="1" applyAlignment="1">
      <alignment vertical="top"/>
    </xf>
    <xf numFmtId="3" fontId="2" fillId="0" borderId="0" xfId="0" applyNumberFormat="1" applyFont="1" applyAlignment="1">
      <alignment vertical="top"/>
    </xf>
    <xf numFmtId="49" fontId="2" fillId="0" borderId="0" xfId="0" applyNumberFormat="1" applyFont="1" applyAlignment="1">
      <alignment vertical="top"/>
    </xf>
    <xf numFmtId="10" fontId="2" fillId="0" borderId="0" xfId="0" applyNumberFormat="1" applyFont="1" applyAlignment="1">
      <alignment vertical="top"/>
    </xf>
    <xf numFmtId="164" fontId="2" fillId="0" borderId="0" xfId="0" applyNumberFormat="1" applyFont="1"/>
    <xf numFmtId="165" fontId="2" fillId="0" borderId="0" xfId="0" applyNumberFormat="1" applyFont="1" applyAlignment="1">
      <alignment vertical="top"/>
    </xf>
    <xf numFmtId="0" fontId="1" fillId="2" borderId="1" xfId="0" applyFont="1" applyFill="1" applyBorder="1" applyAlignment="1">
      <alignment horizontal="center" vertical="center" wrapText="1"/>
    </xf>
    <xf numFmtId="0" fontId="4" fillId="3" borderId="1" xfId="0" applyFont="1" applyFill="1" applyBorder="1" applyAlignment="1">
      <alignment vertical="top"/>
    </xf>
    <xf numFmtId="0" fontId="3" fillId="0" borderId="0" xfId="0" applyFont="1" applyAlignment="1">
      <alignment vertical="center"/>
    </xf>
    <xf numFmtId="0" fontId="6" fillId="3" borderId="1" xfId="0" applyFont="1" applyFill="1" applyBorder="1" applyAlignment="1">
      <alignment vertical="top"/>
    </xf>
    <xf numFmtId="0" fontId="7" fillId="0" borderId="0" xfId="0" applyFont="1" applyAlignment="1">
      <alignment vertical="top"/>
    </xf>
    <xf numFmtId="0" fontId="8" fillId="0" borderId="0" xfId="0" applyFont="1" applyAlignment="1">
      <alignment vertical="top"/>
    </xf>
    <xf numFmtId="49" fontId="2" fillId="0" borderId="0" xfId="0" applyNumberFormat="1" applyFont="1" applyAlignment="1">
      <alignment horizontal="left" vertical="top"/>
    </xf>
    <xf numFmtId="0" fontId="4" fillId="3" borderId="2" xfId="0" applyFont="1" applyFill="1" applyBorder="1" applyAlignment="1">
      <alignment vertical="top"/>
    </xf>
    <xf numFmtId="0" fontId="5" fillId="0" borderId="3" xfId="0" applyFont="1" applyBorder="1"/>
    <xf numFmtId="0" fontId="5" fillId="0" borderId="4" xfId="0" applyFont="1" applyBorder="1"/>
  </cellXfs>
  <cellStyles count="1">
    <cellStyle name="Normal" xfId="0" builtinId="0"/>
  </cellStyles>
  <dxfs count="57">
    <dxf>
      <numFmt numFmtId="0" formatCode="Genera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4">
    <tableStyle name="CONFIG_HTML-style" pivot="0" count="4" xr9:uid="{00000000-0011-0000-FFFF-FFFF00000000}">
      <tableStyleElement type="wholeTable" size="0" dxfId="56"/>
      <tableStyleElement type="headerRow" dxfId="55"/>
      <tableStyleElement type="firstRowStripe" dxfId="54"/>
      <tableStyleElement type="secondRowStripe" dxfId="53"/>
    </tableStyle>
    <tableStyle name="ENCABEZADOS-style" pivot="0" count="4" xr9:uid="{00000000-0011-0000-FFFF-FFFF01000000}">
      <tableStyleElement type="wholeTable" size="0" dxfId="52"/>
      <tableStyleElement type="headerRow" dxfId="51"/>
      <tableStyleElement type="firstRowStripe" dxfId="50"/>
      <tableStyleElement type="secondRowStripe" dxfId="49"/>
    </tableStyle>
    <tableStyle name="CONFIG_DASHBOARD-style" pivot="0" count="4" xr9:uid="{00000000-0011-0000-FFFF-FFFF02000000}">
      <tableStyleElement type="wholeTable" size="0" dxfId="48"/>
      <tableStyleElement type="headerRow" dxfId="47"/>
      <tableStyleElement type="firstRowStripe" dxfId="46"/>
      <tableStyleElement type="secondRowStripe" dxfId="45"/>
    </tableStyle>
    <tableStyle name="KPIs_HTML-style" pivot="0" count="4" xr9:uid="{00000000-0011-0000-FFFF-FFFF03000000}">
      <tableStyleElement type="wholeTable" size="0" dxfId="44"/>
      <tableStyleElement type="headerRow" dxfId="43"/>
      <tableStyleElement type="firstRowStripe" dxfId="42"/>
      <tableStyleElement type="secondRowStripe" dxfId="41"/>
    </tableStyle>
    <tableStyle name="LIMPIEZA_PRESUPUESTO-style" pivot="0" count="4" xr9:uid="{00000000-0011-0000-FFFF-FFFF04000000}">
      <tableStyleElement type="wholeTable" size="0" dxfId="40"/>
      <tableStyleElement type="headerRow" dxfId="39"/>
      <tableStyleElement type="firstRowStripe" dxfId="38"/>
      <tableStyleElement type="secondRowStripe" dxfId="37"/>
    </tableStyle>
    <tableStyle name="LIMPIEZA_COBERTURA-style" pivot="0" count="4" xr9:uid="{00000000-0011-0000-FFFF-FFFF05000000}">
      <tableStyleElement type="wholeTable" size="0" dxfId="36"/>
      <tableStyleElement type="headerRow" dxfId="35"/>
      <tableStyleElement type="firstRowStripe" dxfId="34"/>
      <tableStyleElement type="secondRowStripe" dxfId="33"/>
    </tableStyle>
    <tableStyle name="AULA911_CAMPUS-style" pivot="0" count="4" xr9:uid="{00000000-0011-0000-FFFF-FFFF06000000}">
      <tableStyleElement type="wholeTable" size="0" dxfId="32"/>
      <tableStyleElement type="headerRow" dxfId="31"/>
      <tableStyleElement type="firstRowStripe" dxfId="30"/>
      <tableStyleElement type="secondRowStripe" dxfId="29"/>
    </tableStyle>
    <tableStyle name="AULA911_TOP-style" pivot="0" count="4" xr9:uid="{00000000-0011-0000-FFFF-FFFF07000000}">
      <tableStyleElement type="wholeTable" size="0" dxfId="28"/>
      <tableStyleElement type="headerRow" dxfId="27"/>
      <tableStyleElement type="firstRowStripe" dxfId="26"/>
      <tableStyleElement type="secondRowStripe" dxfId="25"/>
    </tableStyle>
    <tableStyle name="RONDAS-style" pivot="0" count="4" xr9:uid="{00000000-0011-0000-FFFF-FFFF08000000}">
      <tableStyleElement type="wholeTable" size="0" dxfId="24"/>
      <tableStyleElement type="headerRow" dxfId="23"/>
      <tableStyleElement type="firstRowStripe" dxfId="22"/>
      <tableStyleElement type="secondRowStripe" dxfId="21"/>
    </tableStyle>
    <tableStyle name="PROYECTOS-style" pivot="0" count="4" xr9:uid="{00000000-0011-0000-FFFF-FFFF09000000}">
      <tableStyleElement type="wholeTable" size="0" dxfId="20"/>
      <tableStyleElement type="headerRow" dxfId="19"/>
      <tableStyleElement type="firstRowStripe" dxfId="18"/>
      <tableStyleElement type="secondRowStripe" dxfId="17"/>
    </tableStyle>
    <tableStyle name="PROYECTO_DETALLE-style" pivot="0" count="4" xr9:uid="{00000000-0011-0000-FFFF-FFFF0A000000}">
      <tableStyleElement type="wholeTable" size="0" dxfId="16"/>
      <tableStyleElement type="headerRow" dxfId="15"/>
      <tableStyleElement type="firstRowStripe" dxfId="14"/>
      <tableStyleElement type="secondRowStripe" dxfId="13"/>
    </tableStyle>
    <tableStyle name="IMPLEMENTACIONES-style" pivot="0" count="4" xr9:uid="{00000000-0011-0000-FFFF-FFFF0B000000}">
      <tableStyleElement type="wholeTable" size="0" dxfId="12"/>
      <tableStyleElement type="headerRow" dxfId="11"/>
      <tableStyleElement type="firstRowStripe" dxfId="10"/>
      <tableStyleElement type="secondRowStripe" dxfId="9"/>
    </tableStyle>
    <tableStyle name="LISTO-style" pivot="0" count="4" xr9:uid="{00000000-0011-0000-FFFF-FFFF0C000000}">
      <tableStyleElement type="wholeTable" size="0" dxfId="8"/>
      <tableStyleElement type="headerRow" dxfId="7"/>
      <tableStyleElement type="firstRowStripe" dxfId="6"/>
      <tableStyleElement type="secondRowStripe" dxfId="5"/>
    </tableStyle>
    <tableStyle name="MEJORAS_PROGRAMACION-style" pivot="0" count="4" xr9:uid="{00000000-0011-0000-FFFF-FFFF0D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blConfigHTML" displayName="tblConfigHTML" ref="A1:E10">
  <tableColumns count="5">
    <tableColumn id="1" xr3:uid="{00000000-0010-0000-0000-000001000000}" name="selector"/>
    <tableColumn id="2" xr3:uid="{00000000-0010-0000-0000-000002000000}" name="tipo"/>
    <tableColumn id="3" xr3:uid="{00000000-0010-0000-0000-000003000000}" name="atributo"/>
    <tableColumn id="4" xr3:uid="{00000000-0010-0000-0000-000004000000}" name="valor"/>
    <tableColumn id="5" xr3:uid="{00000000-0010-0000-0000-000005000000}" name="descripcion"/>
  </tableColumns>
  <tableStyleInfo name="CONFIG_HTML-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Encabezados" displayName="tblEncabezados" ref="A1:F54">
  <tableColumns count="6">
    <tableColumn id="1" xr3:uid="{00000000-0010-0000-0100-000001000000}" name="hoja"/>
    <tableColumn id="2" xr3:uid="{00000000-0010-0000-0100-000002000000}" name="campo"/>
    <tableColumn id="3" xr3:uid="{00000000-0010-0000-0100-000003000000}" name="display_name"/>
    <tableColumn id="4" xr3:uid="{00000000-0010-0000-0100-000004000000}" name="orden"/>
    <tableColumn id="5" xr3:uid="{00000000-0010-0000-0100-000005000000}" name="visible"/>
    <tableColumn id="6" xr3:uid="{00000000-0010-0000-0100-000006000000}" name="formato"/>
  </tableColumns>
  <tableStyleInfo name="ENCABEZADO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blConfigDashboard" displayName="tblConfigDashboard" ref="A1:C8">
  <tableColumns count="3">
    <tableColumn id="1" xr3:uid="{00000000-0010-0000-0200-000001000000}" name="clave"/>
    <tableColumn id="2" xr3:uid="{00000000-0010-0000-0200-000002000000}" name="valor"/>
    <tableColumn id="3" xr3:uid="{00000000-0010-0000-0200-000003000000}" name="descripcion"/>
  </tableColumns>
  <tableStyleInfo name="CONFIG_DASHBOARD-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Kpis" displayName="tblKpis" ref="A1:E27">
  <tableColumns count="5">
    <tableColumn id="1" xr3:uid="{00000000-0010-0000-0300-000001000000}" name="modulo"/>
    <tableColumn id="2" xr3:uid="{00000000-0010-0000-0300-000002000000}" name="indicador"/>
    <tableColumn id="3" xr3:uid="{00000000-0010-0000-0300-000003000000}" name="valor"/>
    <tableColumn id="4" xr3:uid="{00000000-0010-0000-0300-000004000000}" name="unidad"/>
    <tableColumn id="5" xr3:uid="{00000000-0010-0000-0300-000005000000}" name="descripcion"/>
  </tableColumns>
  <tableStyleInfo name="KPIs_HTML-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blCobertura" displayName="tblCobertura" ref="A1:M29">
  <tableColumns count="13">
    <tableColumn id="1" xr3:uid="{00000000-0010-0000-0400-000001000000}" name="zona"/>
    <tableColumn id="2" xr3:uid="{00000000-0010-0000-0400-000002000000}" name="campus"/>
    <tableColumn id="3" xr3:uid="{00000000-0010-0000-0400-000003000000}" name="dot_m"/>
    <tableColumn id="4" xr3:uid="{00000000-0010-0000-0400-000004000000}" name="dot_t"/>
    <tableColumn id="5" xr3:uid="{00000000-0010-0000-0400-000005000000}" name="dot_n"/>
    <tableColumn id="6" xr3:uid="{00000000-0010-0000-0400-000006000000}" name="cob_m"/>
    <tableColumn id="7" xr3:uid="{00000000-0010-0000-0400-000007000000}" name="cob_t"/>
    <tableColumn id="8" xr3:uid="{00000000-0010-0000-0400-000008000000}" name="cob_n"/>
    <tableColumn id="9" xr3:uid="{00000000-0010-0000-0400-000009000000}" name="pend_m"/>
    <tableColumn id="10" xr3:uid="{00000000-0010-0000-0400-00000A000000}" name="pend_t"/>
    <tableColumn id="11" xr3:uid="{00000000-0010-0000-0400-00000B000000}" name="pend_n"/>
    <tableColumn id="12" xr3:uid="{00000000-0010-0000-0400-00000C000000}" name="pend_total"/>
    <tableColumn id="13" xr3:uid="{00000000-0010-0000-0400-00000D000000}" name="cobertura_pct"/>
  </tableColumns>
  <tableStyleInfo name="LIMPIEZA_COBERTURA-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blPresupuesto" displayName="tblPresupuesto" ref="A1:C11">
  <tableColumns count="3">
    <tableColumn id="1" xr3:uid="{00000000-0010-0000-0500-000001000000}" name="concepto"/>
    <tableColumn id="2" xr3:uid="{00000000-0010-0000-0500-000002000000}" name="periodo"/>
    <tableColumn id="3" xr3:uid="{00000000-0010-0000-0500-000003000000}" name="monto"/>
  </tableColumns>
  <tableStyleInfo name="LIMPIEZA_PRESUPUESTO-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Aula911" displayName="tblAula911" ref="A1:F23">
  <tableColumns count="6">
    <tableColumn id="1" xr3:uid="{00000000-0010-0000-0600-000001000000}" name="campus"/>
    <tableColumn id="2" xr3:uid="{00000000-0010-0000-0600-000002000000}" name="tiempo_acepta_min"/>
    <tableColumn id="3" xr3:uid="{00000000-0010-0000-0600-000003000000}" name="tiempo_atiende_min"/>
    <tableColumn id="4" xr3:uid="{00000000-0010-0000-0600-000004000000}" name="tiempo_total_min"/>
    <tableColumn id="5" xr3:uid="{00000000-0010-0000-0600-000005000000}" name="valoracion"/>
    <tableColumn id="6" xr3:uid="{00000000-0010-0000-0600-000006000000}" name="es_subsede"/>
  </tableColumns>
  <tableStyleInfo name="AULA911_CAMPU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AulaTop" displayName="tblAulaTop" ref="A1:B6">
  <tableColumns count="2">
    <tableColumn id="1" xr3:uid="{00000000-0010-0000-0700-000001000000}" name="tipo_incidencia"/>
    <tableColumn id="2" xr3:uid="{00000000-0010-0000-0700-000002000000}" name="participacion" dataDxfId="0"/>
  </tableColumns>
  <tableStyleInfo name="AULA911_TOP-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Rondas" displayName="tblRondas" ref="A1:G23">
  <tableColumns count="7">
    <tableColumn id="1" xr3:uid="{00000000-0010-0000-0800-000001000000}" name="sede"/>
    <tableColumn id="2" xr3:uid="{00000000-0010-0000-0800-000002000000}" name="dispositivos_asignados"/>
    <tableColumn id="3" xr3:uid="{00000000-0010-0000-0800-000003000000}" name="responsables"/>
    <tableColumn id="4" xr3:uid="{00000000-0010-0000-0800-000004000000}" name="programado"/>
    <tableColumn id="5" xr3:uid="{00000000-0010-0000-0800-000005000000}" name="ejecutado"/>
    <tableColumn id="6" xr3:uid="{00000000-0010-0000-0800-000006000000}" name="cumplimiento_pct"/>
    <tableColumn id="7" xr3:uid="{00000000-0010-0000-0800-000007000000}" name="es_subsede"/>
  </tableColumns>
  <tableStyleInfo name="RONDAS-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Proyectos" displayName="tblProyectos" ref="A1:G20">
  <tableColumns count="7">
    <tableColumn id="1" xr3:uid="{00000000-0010-0000-0900-000001000000}" name="proyecto"/>
    <tableColumn id="2" xr3:uid="{00000000-0010-0000-0900-000002000000}" name="estado"/>
    <tableColumn id="3" xr3:uid="{00000000-0010-0000-0900-000003000000}" name="avance_obra_pct"/>
    <tableColumn id="4" xr3:uid="{00000000-0010-0000-0900-000004000000}" name="avance_compras_pct"/>
    <tableColumn id="5" xr3:uid="{00000000-0010-0000-0900-000005000000}" name="fecha_objetivo_texto"/>
    <tableColumn id="6" xr3:uid="{00000000-0010-0000-0900-000006000000}" name="con_observaciones"/>
    <tableColumn id="7" xr3:uid="{00000000-0010-0000-0900-000007000000}" name="nueva_fecha_texto"/>
  </tableColumns>
  <tableStyleInfo name="PROYECTO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ProyectoDetalle" displayName="tblProyectoDetalle" ref="A1:G6">
  <tableColumns count="7">
    <tableColumn id="1" xr3:uid="{00000000-0010-0000-0A00-000001000000}" name="campus"/>
    <tableColumn id="2" xr3:uid="{00000000-0010-0000-0A00-000002000000}" name="descripcion"/>
    <tableColumn id="3" xr3:uid="{00000000-0010-0000-0A00-000003000000}" name="avance_obra_pct"/>
    <tableColumn id="4" xr3:uid="{00000000-0010-0000-0A00-000004000000}" name="avance_compras_pct"/>
    <tableColumn id="5" xr3:uid="{00000000-0010-0000-0A00-000005000000}" name="avance_implementacion_pct"/>
    <tableColumn id="6" xr3:uid="{00000000-0010-0000-0A00-000006000000}" name="fecha_objetivo_texto"/>
    <tableColumn id="7" xr3:uid="{00000000-0010-0000-0A00-000007000000}" name="url_seguimiento"/>
  </tableColumns>
  <tableStyleInfo name="PROYECTO_DETALLE-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Implementaciones" displayName="tblImplementaciones" ref="A1:C55">
  <tableColumns count="3">
    <tableColumn id="1" xr3:uid="{00000000-0010-0000-0B00-000001000000}" name="titulo"/>
    <tableColumn id="2" xr3:uid="{00000000-0010-0000-0B00-000002000000}" name="avance_pct"/>
    <tableColumn id="3" xr3:uid="{00000000-0010-0000-0B00-000003000000}" name="url"/>
  </tableColumns>
  <tableStyleInfo name="IMPLEMENTACIONES-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Listo" displayName="tblListo" ref="A1:G19">
  <tableColumns count="7">
    <tableColumn id="1" xr3:uid="{00000000-0010-0000-0C00-000001000000}" name="campus"/>
    <tableColumn id="2" xr3:uid="{00000000-0010-0000-0C00-000002000000}" name="diseno_pct"/>
    <tableColumn id="3" xr3:uid="{00000000-0010-0000-0C00-000003000000}" name="obra_pct"/>
    <tableColumn id="4" xr3:uid="{00000000-0010-0000-0C00-000004000000}" name="operacion"/>
    <tableColumn id="5" xr3:uid="{00000000-0010-0000-0C00-000005000000}" name="fecha_objetivo_texto"/>
    <tableColumn id="6" xr3:uid="{00000000-0010-0000-0C00-000006000000}" name="con_observacion"/>
    <tableColumn id="7" xr3:uid="{00000000-0010-0000-0C00-000007000000}" name="nueva_fecha_texto"/>
  </tableColumns>
  <tableStyleInfo name="LISTO-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MejorasProgramacion" displayName="tblMejorasProgramacion" ref="A1:O18">
  <tableColumns count="15">
    <tableColumn id="1" xr3:uid="{00000000-0010-0000-0D00-000001000000}" name="campus"/>
    <tableColumn id="2" xr3:uid="{00000000-0010-0000-0D00-000002000000}" name="fecha_inicio_texto"/>
    <tableColumn id="3" xr3:uid="{00000000-0010-0000-0D00-000003000000}" name="fecha_fin_texto"/>
    <tableColumn id="4" xr3:uid="{00000000-0010-0000-0D00-000004000000}" name="menor_01_03_2026"/>
    <tableColumn id="5" xr3:uid="{00000000-0010-0000-0D00-000005000000}" name="mar"/>
    <tableColumn id="6" xr3:uid="{00000000-0010-0000-0D00-000006000000}" name="abr"/>
    <tableColumn id="7" xr3:uid="{00000000-0010-0000-0D00-000007000000}" name="may"/>
    <tableColumn id="8" xr3:uid="{00000000-0010-0000-0D00-000008000000}" name="jun"/>
    <tableColumn id="9" xr3:uid="{00000000-0010-0000-0D00-000009000000}" name="jul"/>
    <tableColumn id="10" xr3:uid="{00000000-0010-0000-0D00-00000A000000}" name="ago"/>
    <tableColumn id="11" xr3:uid="{00000000-0010-0000-0D00-00000B000000}" name="set"/>
    <tableColumn id="12" xr3:uid="{00000000-0010-0000-0D00-00000C000000}" name="oct"/>
    <tableColumn id="13" xr3:uid="{00000000-0010-0000-0D00-00000D000000}" name="nov"/>
    <tableColumn id="14" xr3:uid="{00000000-0010-0000-0D00-00000E000000}" name="dic"/>
    <tableColumn id="15" xr3:uid="{00000000-0010-0000-0D00-00000F000000}" name="total"/>
  </tableColumns>
  <tableStyleInfo name="MEJORAS_PROGRAMAC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28" customWidth="1"/>
    <col min="2" max="2" width="110" customWidth="1"/>
    <col min="3" max="26" width="8.6640625" customWidth="1"/>
  </cols>
  <sheetData>
    <row r="1" spans="1:2" ht="30" customHeight="1" x14ac:dyDescent="0.3">
      <c r="A1" s="1" t="s">
        <v>0</v>
      </c>
      <c r="B1" s="1" t="s">
        <v>1</v>
      </c>
    </row>
    <row r="2" spans="1:2" ht="14.4" x14ac:dyDescent="0.3">
      <c r="A2" s="2" t="s">
        <v>2</v>
      </c>
      <c r="B2" s="2" t="s">
        <v>3</v>
      </c>
    </row>
    <row r="3" spans="1:2" ht="14.4" x14ac:dyDescent="0.3">
      <c r="A3" s="2" t="s">
        <v>4</v>
      </c>
      <c r="B3" s="2" t="s">
        <v>5</v>
      </c>
    </row>
    <row r="4" spans="1:2" ht="14.4" x14ac:dyDescent="0.3">
      <c r="A4" s="2" t="s">
        <v>6</v>
      </c>
      <c r="B4" s="2" t="s">
        <v>7</v>
      </c>
    </row>
    <row r="5" spans="1:2" ht="14.4" x14ac:dyDescent="0.3">
      <c r="A5" s="2" t="s">
        <v>8</v>
      </c>
      <c r="B5" s="2" t="s">
        <v>9</v>
      </c>
    </row>
    <row r="6" spans="1:2" ht="14.4" x14ac:dyDescent="0.3">
      <c r="A6" s="2" t="s">
        <v>10</v>
      </c>
      <c r="B6" s="2" t="s">
        <v>11</v>
      </c>
    </row>
    <row r="7" spans="1:2" ht="14.4" x14ac:dyDescent="0.3">
      <c r="A7" s="2" t="s">
        <v>12</v>
      </c>
      <c r="B7" s="2" t="s">
        <v>13</v>
      </c>
    </row>
    <row r="8" spans="1:2" ht="14.4" x14ac:dyDescent="0.3">
      <c r="A8" s="2" t="s">
        <v>14</v>
      </c>
      <c r="B8" s="2" t="s">
        <v>15</v>
      </c>
    </row>
    <row r="9" spans="1:2" ht="14.4" x14ac:dyDescent="0.3">
      <c r="A9" s="2" t="s">
        <v>16</v>
      </c>
      <c r="B9" s="2" t="s">
        <v>17</v>
      </c>
    </row>
    <row r="10" spans="1:2" ht="14.4" x14ac:dyDescent="0.3">
      <c r="A10" s="3" t="s">
        <v>18</v>
      </c>
      <c r="B10" s="3" t="s">
        <v>19</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fitToHeight="0"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48" customWidth="1"/>
    <col min="2" max="3" width="12" customWidth="1"/>
    <col min="4" max="4" width="80" customWidth="1"/>
    <col min="5" max="5" width="50" customWidth="1"/>
    <col min="6" max="26" width="8.6640625" customWidth="1"/>
  </cols>
  <sheetData>
    <row r="1" spans="1:5" ht="30" customHeight="1" x14ac:dyDescent="0.3">
      <c r="A1" s="4" t="s">
        <v>22</v>
      </c>
      <c r="B1" s="4" t="s">
        <v>24</v>
      </c>
      <c r="C1" s="4" t="s">
        <v>27</v>
      </c>
      <c r="D1" s="4" t="s">
        <v>23</v>
      </c>
      <c r="E1" s="4" t="s">
        <v>26</v>
      </c>
    </row>
    <row r="2" spans="1:5" ht="14.4" x14ac:dyDescent="0.3">
      <c r="A2" s="5" t="s">
        <v>35</v>
      </c>
      <c r="B2" s="5" t="s">
        <v>37</v>
      </c>
      <c r="C2" s="5"/>
      <c r="D2" s="5" t="s">
        <v>41</v>
      </c>
      <c r="E2" s="5" t="s">
        <v>43</v>
      </c>
    </row>
    <row r="3" spans="1:5" ht="14.4" x14ac:dyDescent="0.3">
      <c r="A3" s="5" t="s">
        <v>46</v>
      </c>
      <c r="B3" s="5" t="s">
        <v>37</v>
      </c>
      <c r="C3" s="5"/>
      <c r="D3" s="5" t="s">
        <v>49</v>
      </c>
      <c r="E3" s="5" t="s">
        <v>52</v>
      </c>
    </row>
    <row r="4" spans="1:5" ht="14.4" x14ac:dyDescent="0.3">
      <c r="A4" s="5" t="s">
        <v>54</v>
      </c>
      <c r="B4" s="5" t="s">
        <v>37</v>
      </c>
      <c r="C4" s="5"/>
      <c r="D4" s="5" t="s">
        <v>57</v>
      </c>
      <c r="E4" s="5" t="s">
        <v>59</v>
      </c>
    </row>
    <row r="5" spans="1:5" ht="14.4" x14ac:dyDescent="0.3">
      <c r="A5" s="5" t="s">
        <v>63</v>
      </c>
      <c r="B5" s="5" t="s">
        <v>37</v>
      </c>
      <c r="C5" s="5"/>
      <c r="D5" s="5" t="s">
        <v>68</v>
      </c>
      <c r="E5" s="5" t="s">
        <v>69</v>
      </c>
    </row>
    <row r="6" spans="1:5" ht="14.4" x14ac:dyDescent="0.3">
      <c r="A6" s="5" t="s">
        <v>70</v>
      </c>
      <c r="B6" s="5" t="s">
        <v>37</v>
      </c>
      <c r="C6" s="5"/>
      <c r="D6" s="5" t="s">
        <v>71</v>
      </c>
      <c r="E6" s="5" t="s">
        <v>72</v>
      </c>
    </row>
    <row r="7" spans="1:5" ht="14.4" x14ac:dyDescent="0.3">
      <c r="A7" s="5" t="s">
        <v>73</v>
      </c>
      <c r="B7" s="5" t="s">
        <v>37</v>
      </c>
      <c r="C7" s="5"/>
      <c r="D7" s="5" t="s">
        <v>76</v>
      </c>
      <c r="E7" s="5" t="s">
        <v>77</v>
      </c>
    </row>
    <row r="8" spans="1:5" ht="14.4" x14ac:dyDescent="0.3">
      <c r="A8" s="5" t="s">
        <v>78</v>
      </c>
      <c r="B8" s="5" t="s">
        <v>37</v>
      </c>
      <c r="C8" s="5"/>
      <c r="D8" s="5" t="s">
        <v>79</v>
      </c>
      <c r="E8" s="5" t="s">
        <v>69</v>
      </c>
    </row>
    <row r="9" spans="1:5" ht="14.4" x14ac:dyDescent="0.3">
      <c r="A9" s="5" t="s">
        <v>80</v>
      </c>
      <c r="B9" s="5" t="s">
        <v>37</v>
      </c>
      <c r="C9" s="5"/>
      <c r="D9" s="5" t="s">
        <v>82</v>
      </c>
      <c r="E9" s="5" t="s">
        <v>69</v>
      </c>
    </row>
    <row r="10" spans="1:5" ht="14.4" x14ac:dyDescent="0.3">
      <c r="A10" s="5" t="s">
        <v>84</v>
      </c>
      <c r="B10" s="5" t="s">
        <v>37</v>
      </c>
      <c r="C10" s="5"/>
      <c r="D10" s="5" t="s">
        <v>85</v>
      </c>
      <c r="E10" s="5" t="s">
        <v>69</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94F430F2-B245-4D98-A729-FD8559109474}" filter="1" showAutoFilter="1">
      <pageMargins left="0.7" right="0.7" top="0.75" bottom="0.75" header="0.3" footer="0.3"/>
      <autoFilter ref="A1:E10" xr:uid="{914C035A-516F-4575-AF06-E1B056449B65}"/>
      <extLst>
        <ext uri="GoogleSheetsCustomDataVersion1">
          <go:sheetsCustomData xmlns:go="http://customooxmlschemas.google.com/" filterViewId="1984491163"/>
        </ext>
      </extLst>
    </customSheetView>
  </customSheetViews>
  <pageMargins left="0.75" right="0.75" top="1" bottom="1" header="0" footer="0"/>
  <pageSetup fitToHeight="0"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26" customWidth="1"/>
    <col min="2" max="2" width="24" customWidth="1"/>
    <col min="3" max="3" width="34" customWidth="1"/>
    <col min="4" max="4" width="10" customWidth="1"/>
    <col min="5" max="5" width="12" customWidth="1"/>
    <col min="6" max="6" width="18" customWidth="1"/>
    <col min="7" max="26" width="8.6640625" customWidth="1"/>
  </cols>
  <sheetData>
    <row r="1" spans="1:6" ht="30" customHeight="1" x14ac:dyDescent="0.3">
      <c r="A1" s="4" t="s">
        <v>20</v>
      </c>
      <c r="B1" s="4" t="s">
        <v>25</v>
      </c>
      <c r="C1" s="4" t="s">
        <v>28</v>
      </c>
      <c r="D1" s="4" t="s">
        <v>30</v>
      </c>
      <c r="E1" s="4" t="s">
        <v>32</v>
      </c>
      <c r="F1" s="4" t="s">
        <v>34</v>
      </c>
    </row>
    <row r="2" spans="1:6" ht="14.4" x14ac:dyDescent="0.3">
      <c r="A2" s="5" t="s">
        <v>38</v>
      </c>
      <c r="B2" s="5" t="s">
        <v>40</v>
      </c>
      <c r="C2" s="5" t="s">
        <v>44</v>
      </c>
      <c r="D2" s="5">
        <v>1</v>
      </c>
      <c r="E2" s="5" t="s">
        <v>50</v>
      </c>
      <c r="F2" s="5"/>
    </row>
    <row r="3" spans="1:6" ht="14.4" x14ac:dyDescent="0.3">
      <c r="A3" s="5" t="s">
        <v>38</v>
      </c>
      <c r="B3" s="5" t="s">
        <v>60</v>
      </c>
      <c r="C3" s="5" t="s">
        <v>14</v>
      </c>
      <c r="D3" s="5">
        <v>2</v>
      </c>
      <c r="E3" s="5" t="s">
        <v>50</v>
      </c>
      <c r="F3" s="5"/>
    </row>
    <row r="4" spans="1:6" ht="14.4" x14ac:dyDescent="0.3">
      <c r="A4" s="5" t="s">
        <v>38</v>
      </c>
      <c r="B4" s="5" t="s">
        <v>74</v>
      </c>
      <c r="C4" s="5" t="s">
        <v>75</v>
      </c>
      <c r="D4" s="5">
        <v>3</v>
      </c>
      <c r="E4" s="5" t="s">
        <v>50</v>
      </c>
      <c r="F4" s="5"/>
    </row>
    <row r="5" spans="1:6" ht="14.4" x14ac:dyDescent="0.3">
      <c r="A5" s="5" t="s">
        <v>38</v>
      </c>
      <c r="B5" s="5" t="s">
        <v>81</v>
      </c>
      <c r="C5" s="5" t="s">
        <v>83</v>
      </c>
      <c r="D5" s="5">
        <v>4</v>
      </c>
      <c r="E5" s="5" t="s">
        <v>50</v>
      </c>
      <c r="F5" s="5"/>
    </row>
    <row r="6" spans="1:6" ht="14.4" x14ac:dyDescent="0.3">
      <c r="A6" s="5" t="s">
        <v>38</v>
      </c>
      <c r="B6" s="5" t="s">
        <v>86</v>
      </c>
      <c r="C6" s="5" t="s">
        <v>87</v>
      </c>
      <c r="D6" s="5">
        <v>5</v>
      </c>
      <c r="E6" s="5" t="s">
        <v>50</v>
      </c>
      <c r="F6" s="5"/>
    </row>
    <row r="7" spans="1:6" ht="14.4" x14ac:dyDescent="0.3">
      <c r="A7" s="5" t="s">
        <v>38</v>
      </c>
      <c r="B7" s="5" t="s">
        <v>88</v>
      </c>
      <c r="C7" s="5" t="s">
        <v>89</v>
      </c>
      <c r="D7" s="5">
        <v>6</v>
      </c>
      <c r="E7" s="5" t="s">
        <v>50</v>
      </c>
      <c r="F7" s="5"/>
    </row>
    <row r="8" spans="1:6" ht="14.4" x14ac:dyDescent="0.3">
      <c r="A8" s="5" t="s">
        <v>38</v>
      </c>
      <c r="B8" s="5" t="s">
        <v>90</v>
      </c>
      <c r="C8" s="5" t="s">
        <v>91</v>
      </c>
      <c r="D8" s="5">
        <v>7</v>
      </c>
      <c r="E8" s="5" t="s">
        <v>50</v>
      </c>
      <c r="F8" s="5"/>
    </row>
    <row r="9" spans="1:6" ht="14.4" x14ac:dyDescent="0.3">
      <c r="A9" s="5" t="s">
        <v>38</v>
      </c>
      <c r="B9" s="5" t="s">
        <v>92</v>
      </c>
      <c r="C9" s="5" t="s">
        <v>93</v>
      </c>
      <c r="D9" s="5">
        <v>8</v>
      </c>
      <c r="E9" s="5" t="s">
        <v>50</v>
      </c>
      <c r="F9" s="5"/>
    </row>
    <row r="10" spans="1:6" ht="14.4" x14ac:dyDescent="0.3">
      <c r="A10" s="5" t="s">
        <v>38</v>
      </c>
      <c r="B10" s="5" t="s">
        <v>95</v>
      </c>
      <c r="C10" s="5" t="s">
        <v>97</v>
      </c>
      <c r="D10" s="5">
        <v>9</v>
      </c>
      <c r="E10" s="5" t="s">
        <v>50</v>
      </c>
      <c r="F10" s="5"/>
    </row>
    <row r="11" spans="1:6" ht="14.4" x14ac:dyDescent="0.3">
      <c r="A11" s="5" t="s">
        <v>38</v>
      </c>
      <c r="B11" s="5" t="s">
        <v>99</v>
      </c>
      <c r="C11" s="5" t="s">
        <v>101</v>
      </c>
      <c r="D11" s="5">
        <v>10</v>
      </c>
      <c r="E11" s="5" t="s">
        <v>50</v>
      </c>
      <c r="F11" s="5"/>
    </row>
    <row r="12" spans="1:6" ht="14.4" x14ac:dyDescent="0.3">
      <c r="A12" s="5" t="s">
        <v>38</v>
      </c>
      <c r="B12" s="5" t="s">
        <v>105</v>
      </c>
      <c r="C12" s="5" t="s">
        <v>106</v>
      </c>
      <c r="D12" s="5">
        <v>11</v>
      </c>
      <c r="E12" s="5" t="s">
        <v>50</v>
      </c>
      <c r="F12" s="5"/>
    </row>
    <row r="13" spans="1:6" ht="14.4" x14ac:dyDescent="0.3">
      <c r="A13" s="5" t="s">
        <v>38</v>
      </c>
      <c r="B13" s="5" t="s">
        <v>110</v>
      </c>
      <c r="C13" s="5" t="s">
        <v>112</v>
      </c>
      <c r="D13" s="5">
        <v>12</v>
      </c>
      <c r="E13" s="5" t="s">
        <v>50</v>
      </c>
      <c r="F13" s="5"/>
    </row>
    <row r="14" spans="1:6" ht="14.4" x14ac:dyDescent="0.3">
      <c r="A14" s="5" t="s">
        <v>38</v>
      </c>
      <c r="B14" s="5" t="s">
        <v>115</v>
      </c>
      <c r="C14" s="5" t="s">
        <v>116</v>
      </c>
      <c r="D14" s="5">
        <v>13</v>
      </c>
      <c r="E14" s="5" t="s">
        <v>50</v>
      </c>
      <c r="F14" s="5"/>
    </row>
    <row r="15" spans="1:6" ht="14.4" x14ac:dyDescent="0.3">
      <c r="A15" s="5" t="s">
        <v>119</v>
      </c>
      <c r="B15" s="5" t="s">
        <v>40</v>
      </c>
      <c r="C15" s="5" t="s">
        <v>122</v>
      </c>
      <c r="D15" s="5">
        <v>1</v>
      </c>
      <c r="E15" s="5" t="s">
        <v>50</v>
      </c>
      <c r="F15" s="5"/>
    </row>
    <row r="16" spans="1:6" ht="14.4" x14ac:dyDescent="0.3">
      <c r="A16" s="5" t="s">
        <v>119</v>
      </c>
      <c r="B16" s="5" t="s">
        <v>60</v>
      </c>
      <c r="C16" s="5" t="s">
        <v>125</v>
      </c>
      <c r="D16" s="5">
        <v>2</v>
      </c>
      <c r="E16" s="5" t="s">
        <v>50</v>
      </c>
      <c r="F16" s="5"/>
    </row>
    <row r="17" spans="1:6" ht="14.4" x14ac:dyDescent="0.3">
      <c r="A17" s="5" t="s">
        <v>119</v>
      </c>
      <c r="B17" s="5" t="s">
        <v>74</v>
      </c>
      <c r="C17" s="5" t="s">
        <v>131</v>
      </c>
      <c r="D17" s="5">
        <v>3</v>
      </c>
      <c r="E17" s="5" t="s">
        <v>50</v>
      </c>
      <c r="F17" s="5"/>
    </row>
    <row r="18" spans="1:6" ht="14.4" x14ac:dyDescent="0.3">
      <c r="A18" s="5" t="s">
        <v>134</v>
      </c>
      <c r="B18" s="5" t="s">
        <v>40</v>
      </c>
      <c r="C18" s="5" t="s">
        <v>14</v>
      </c>
      <c r="D18" s="5">
        <v>1</v>
      </c>
      <c r="E18" s="5" t="s">
        <v>50</v>
      </c>
      <c r="F18" s="5"/>
    </row>
    <row r="19" spans="1:6" ht="14.4" x14ac:dyDescent="0.3">
      <c r="A19" s="5" t="s">
        <v>134</v>
      </c>
      <c r="B19" s="5" t="s">
        <v>60</v>
      </c>
      <c r="C19" s="5" t="s">
        <v>139</v>
      </c>
      <c r="D19" s="5">
        <v>2</v>
      </c>
      <c r="E19" s="5" t="s">
        <v>50</v>
      </c>
      <c r="F19" s="5"/>
    </row>
    <row r="20" spans="1:6" ht="14.4" x14ac:dyDescent="0.3">
      <c r="A20" s="5" t="s">
        <v>134</v>
      </c>
      <c r="B20" s="5" t="s">
        <v>74</v>
      </c>
      <c r="C20" s="5" t="s">
        <v>145</v>
      </c>
      <c r="D20" s="5">
        <v>3</v>
      </c>
      <c r="E20" s="5" t="s">
        <v>50</v>
      </c>
      <c r="F20" s="5"/>
    </row>
    <row r="21" spans="1:6" ht="15.75" customHeight="1" x14ac:dyDescent="0.3">
      <c r="A21" s="5" t="s">
        <v>134</v>
      </c>
      <c r="B21" s="5" t="s">
        <v>81</v>
      </c>
      <c r="C21" s="5" t="s">
        <v>149</v>
      </c>
      <c r="D21" s="5">
        <v>4</v>
      </c>
      <c r="E21" s="5" t="s">
        <v>50</v>
      </c>
      <c r="F21" s="5"/>
    </row>
    <row r="22" spans="1:6" ht="15.75" customHeight="1" x14ac:dyDescent="0.3">
      <c r="A22" s="5" t="s">
        <v>134</v>
      </c>
      <c r="B22" s="5" t="s">
        <v>86</v>
      </c>
      <c r="C22" s="5" t="s">
        <v>152</v>
      </c>
      <c r="D22" s="5">
        <v>5</v>
      </c>
      <c r="E22" s="5" t="s">
        <v>50</v>
      </c>
      <c r="F22" s="5"/>
    </row>
    <row r="23" spans="1:6" ht="15.75" customHeight="1" x14ac:dyDescent="0.3">
      <c r="A23" s="5" t="s">
        <v>134</v>
      </c>
      <c r="B23" s="5" t="s">
        <v>88</v>
      </c>
      <c r="C23" s="5" t="s">
        <v>156</v>
      </c>
      <c r="D23" s="5">
        <v>6</v>
      </c>
      <c r="E23" s="5" t="s">
        <v>50</v>
      </c>
      <c r="F23" s="5"/>
    </row>
    <row r="24" spans="1:6" ht="15.75" customHeight="1" x14ac:dyDescent="0.3">
      <c r="A24" s="5" t="s">
        <v>158</v>
      </c>
      <c r="B24" s="5" t="s">
        <v>40</v>
      </c>
      <c r="C24" s="5" t="s">
        <v>159</v>
      </c>
      <c r="D24" s="5">
        <v>1</v>
      </c>
      <c r="E24" s="5" t="s">
        <v>50</v>
      </c>
      <c r="F24" s="5"/>
    </row>
    <row r="25" spans="1:6" ht="15.75" customHeight="1" x14ac:dyDescent="0.3">
      <c r="A25" s="5" t="s">
        <v>158</v>
      </c>
      <c r="B25" s="5" t="s">
        <v>60</v>
      </c>
      <c r="C25" s="5" t="s">
        <v>165</v>
      </c>
      <c r="D25" s="5">
        <v>2</v>
      </c>
      <c r="E25" s="5" t="s">
        <v>50</v>
      </c>
      <c r="F25" s="5"/>
    </row>
    <row r="26" spans="1:6" ht="15.75" customHeight="1" x14ac:dyDescent="0.3">
      <c r="A26" s="5" t="s">
        <v>158</v>
      </c>
      <c r="B26" s="5" t="s">
        <v>74</v>
      </c>
      <c r="C26" s="5" t="s">
        <v>171</v>
      </c>
      <c r="D26" s="5">
        <v>3</v>
      </c>
      <c r="E26" s="5" t="s">
        <v>50</v>
      </c>
      <c r="F26" s="5"/>
    </row>
    <row r="27" spans="1:6" ht="15.75" customHeight="1" x14ac:dyDescent="0.3">
      <c r="A27" s="5" t="s">
        <v>158</v>
      </c>
      <c r="B27" s="5" t="s">
        <v>81</v>
      </c>
      <c r="C27" s="5" t="s">
        <v>154</v>
      </c>
      <c r="D27" s="5">
        <v>4</v>
      </c>
      <c r="E27" s="5" t="s">
        <v>50</v>
      </c>
      <c r="F27" s="5"/>
    </row>
    <row r="28" spans="1:6" ht="15.75" customHeight="1" x14ac:dyDescent="0.3">
      <c r="A28" s="5" t="s">
        <v>158</v>
      </c>
      <c r="B28" s="5" t="s">
        <v>86</v>
      </c>
      <c r="C28" s="5" t="s">
        <v>123</v>
      </c>
      <c r="D28" s="5">
        <v>5</v>
      </c>
      <c r="E28" s="5" t="s">
        <v>50</v>
      </c>
      <c r="F28" s="5"/>
    </row>
    <row r="29" spans="1:6" ht="15.75" customHeight="1" x14ac:dyDescent="0.3">
      <c r="A29" s="5" t="s">
        <v>158</v>
      </c>
      <c r="B29" s="5" t="s">
        <v>88</v>
      </c>
      <c r="C29" s="5" t="s">
        <v>196</v>
      </c>
      <c r="D29" s="5">
        <v>6</v>
      </c>
      <c r="E29" s="5" t="s">
        <v>50</v>
      </c>
      <c r="F29" s="5"/>
    </row>
    <row r="30" spans="1:6" ht="15.75" customHeight="1" x14ac:dyDescent="0.3">
      <c r="A30" s="5" t="s">
        <v>158</v>
      </c>
      <c r="B30" s="5" t="s">
        <v>90</v>
      </c>
      <c r="C30" s="5" t="s">
        <v>156</v>
      </c>
      <c r="D30" s="5">
        <v>7</v>
      </c>
      <c r="E30" s="5" t="s">
        <v>50</v>
      </c>
      <c r="F30" s="5"/>
    </row>
    <row r="31" spans="1:6" ht="15.75" customHeight="1" x14ac:dyDescent="0.3">
      <c r="A31" s="5" t="s">
        <v>199</v>
      </c>
      <c r="B31" s="5" t="s">
        <v>40</v>
      </c>
      <c r="C31" s="5" t="s">
        <v>200</v>
      </c>
      <c r="D31" s="5">
        <v>1</v>
      </c>
      <c r="E31" s="5" t="s">
        <v>50</v>
      </c>
      <c r="F31" s="5"/>
    </row>
    <row r="32" spans="1:6" ht="15.75" customHeight="1" x14ac:dyDescent="0.3">
      <c r="A32" s="5" t="s">
        <v>199</v>
      </c>
      <c r="B32" s="5" t="s">
        <v>60</v>
      </c>
      <c r="C32" s="5" t="s">
        <v>202</v>
      </c>
      <c r="D32" s="5">
        <v>2</v>
      </c>
      <c r="E32" s="5" t="s">
        <v>50</v>
      </c>
      <c r="F32" s="5"/>
    </row>
    <row r="33" spans="1:6" ht="15.75" customHeight="1" x14ac:dyDescent="0.3">
      <c r="A33" s="5" t="s">
        <v>199</v>
      </c>
      <c r="B33" s="5" t="s">
        <v>74</v>
      </c>
      <c r="C33" s="5" t="s">
        <v>203</v>
      </c>
      <c r="D33" s="5">
        <v>3</v>
      </c>
      <c r="E33" s="5" t="s">
        <v>50</v>
      </c>
      <c r="F33" s="5"/>
    </row>
    <row r="34" spans="1:6" ht="15.75" customHeight="1" x14ac:dyDescent="0.3">
      <c r="A34" s="5" t="s">
        <v>199</v>
      </c>
      <c r="B34" s="5" t="s">
        <v>81</v>
      </c>
      <c r="C34" s="5" t="s">
        <v>205</v>
      </c>
      <c r="D34" s="5">
        <v>4</v>
      </c>
      <c r="E34" s="5" t="s">
        <v>50</v>
      </c>
      <c r="F34" s="5"/>
    </row>
    <row r="35" spans="1:6" ht="15.75" customHeight="1" x14ac:dyDescent="0.3">
      <c r="A35" s="5" t="s">
        <v>199</v>
      </c>
      <c r="B35" s="5" t="s">
        <v>86</v>
      </c>
      <c r="C35" s="5" t="s">
        <v>206</v>
      </c>
      <c r="D35" s="5">
        <v>5</v>
      </c>
      <c r="E35" s="5" t="s">
        <v>50</v>
      </c>
      <c r="F35" s="5"/>
    </row>
    <row r="36" spans="1:6" ht="15.75" customHeight="1" x14ac:dyDescent="0.3">
      <c r="A36" s="5" t="s">
        <v>199</v>
      </c>
      <c r="B36" s="5" t="s">
        <v>88</v>
      </c>
      <c r="C36" s="5" t="s">
        <v>208</v>
      </c>
      <c r="D36" s="5">
        <v>6</v>
      </c>
      <c r="E36" s="5" t="s">
        <v>50</v>
      </c>
      <c r="F36" s="5"/>
    </row>
    <row r="37" spans="1:6" ht="15.75" customHeight="1" x14ac:dyDescent="0.3">
      <c r="A37" s="5" t="s">
        <v>199</v>
      </c>
      <c r="B37" s="5" t="s">
        <v>90</v>
      </c>
      <c r="C37" s="5" t="s">
        <v>209</v>
      </c>
      <c r="D37" s="5">
        <v>7</v>
      </c>
      <c r="E37" s="5" t="s">
        <v>50</v>
      </c>
      <c r="F37" s="5"/>
    </row>
    <row r="38" spans="1:6" ht="15.75" customHeight="1" x14ac:dyDescent="0.3">
      <c r="A38" s="5" t="s">
        <v>210</v>
      </c>
      <c r="B38" s="5" t="s">
        <v>40</v>
      </c>
      <c r="C38" s="5" t="s">
        <v>14</v>
      </c>
      <c r="D38" s="5">
        <v>1</v>
      </c>
      <c r="E38" s="5" t="s">
        <v>50</v>
      </c>
      <c r="F38" s="5"/>
    </row>
    <row r="39" spans="1:6" ht="15.75" customHeight="1" x14ac:dyDescent="0.3">
      <c r="A39" s="5" t="s">
        <v>210</v>
      </c>
      <c r="B39" s="5" t="s">
        <v>60</v>
      </c>
      <c r="C39" s="5" t="s">
        <v>212</v>
      </c>
      <c r="D39" s="5">
        <v>2</v>
      </c>
      <c r="E39" s="5" t="s">
        <v>50</v>
      </c>
      <c r="F39" s="5"/>
    </row>
    <row r="40" spans="1:6" ht="15.75" customHeight="1" x14ac:dyDescent="0.3">
      <c r="A40" s="5" t="s">
        <v>210</v>
      </c>
      <c r="B40" s="5" t="s">
        <v>74</v>
      </c>
      <c r="C40" s="5" t="s">
        <v>203</v>
      </c>
      <c r="D40" s="5">
        <v>3</v>
      </c>
      <c r="E40" s="5" t="s">
        <v>50</v>
      </c>
      <c r="F40" s="5"/>
    </row>
    <row r="41" spans="1:6" ht="15.75" customHeight="1" x14ac:dyDescent="0.3">
      <c r="A41" s="5" t="s">
        <v>210</v>
      </c>
      <c r="B41" s="5" t="s">
        <v>81</v>
      </c>
      <c r="C41" s="5" t="s">
        <v>205</v>
      </c>
      <c r="D41" s="5">
        <v>4</v>
      </c>
      <c r="E41" s="5" t="s">
        <v>50</v>
      </c>
      <c r="F41" s="5"/>
    </row>
    <row r="42" spans="1:6" ht="15.75" customHeight="1" x14ac:dyDescent="0.3">
      <c r="A42" s="5" t="s">
        <v>210</v>
      </c>
      <c r="B42" s="5" t="s">
        <v>86</v>
      </c>
      <c r="C42" s="5" t="s">
        <v>215</v>
      </c>
      <c r="D42" s="5">
        <v>5</v>
      </c>
      <c r="E42" s="5" t="s">
        <v>50</v>
      </c>
      <c r="F42" s="5"/>
    </row>
    <row r="43" spans="1:6" ht="15.75" customHeight="1" x14ac:dyDescent="0.3">
      <c r="A43" s="5" t="s">
        <v>210</v>
      </c>
      <c r="B43" s="5" t="s">
        <v>88</v>
      </c>
      <c r="C43" s="5" t="s">
        <v>206</v>
      </c>
      <c r="D43" s="5">
        <v>6</v>
      </c>
      <c r="E43" s="5" t="s">
        <v>50</v>
      </c>
      <c r="F43" s="5"/>
    </row>
    <row r="44" spans="1:6" ht="15.75" customHeight="1" x14ac:dyDescent="0.3">
      <c r="A44" s="5" t="s">
        <v>210</v>
      </c>
      <c r="B44" s="5" t="s">
        <v>90</v>
      </c>
      <c r="C44" s="5" t="s">
        <v>218</v>
      </c>
      <c r="D44" s="5">
        <v>7</v>
      </c>
      <c r="E44" s="5" t="s">
        <v>50</v>
      </c>
      <c r="F44" s="5"/>
    </row>
    <row r="45" spans="1:6" ht="15.75" customHeight="1" x14ac:dyDescent="0.3">
      <c r="A45" s="5" t="s">
        <v>219</v>
      </c>
      <c r="B45" s="5" t="s">
        <v>40</v>
      </c>
      <c r="C45" s="5" t="s">
        <v>220</v>
      </c>
      <c r="D45" s="5">
        <v>1</v>
      </c>
      <c r="E45" s="5" t="s">
        <v>50</v>
      </c>
      <c r="F45" s="5"/>
    </row>
    <row r="46" spans="1:6" ht="15.75" customHeight="1" x14ac:dyDescent="0.3">
      <c r="A46" s="5" t="s">
        <v>219</v>
      </c>
      <c r="B46" s="5" t="s">
        <v>60</v>
      </c>
      <c r="C46" s="5" t="s">
        <v>222</v>
      </c>
      <c r="D46" s="5">
        <v>2</v>
      </c>
      <c r="E46" s="5" t="s">
        <v>50</v>
      </c>
      <c r="F46" s="5"/>
    </row>
    <row r="47" spans="1:6" ht="15.75" customHeight="1" x14ac:dyDescent="0.3">
      <c r="A47" s="5" t="s">
        <v>219</v>
      </c>
      <c r="B47" s="5" t="s">
        <v>74</v>
      </c>
      <c r="C47" s="5" t="s">
        <v>224</v>
      </c>
      <c r="D47" s="5">
        <v>3</v>
      </c>
      <c r="E47" s="5" t="s">
        <v>50</v>
      </c>
      <c r="F47" s="5"/>
    </row>
    <row r="48" spans="1:6" ht="15.75" customHeight="1" x14ac:dyDescent="0.3">
      <c r="A48" s="5" t="s">
        <v>226</v>
      </c>
      <c r="B48" s="5" t="s">
        <v>40</v>
      </c>
      <c r="C48" s="5" t="s">
        <v>14</v>
      </c>
      <c r="D48" s="5">
        <v>1</v>
      </c>
      <c r="E48" s="5" t="s">
        <v>50</v>
      </c>
      <c r="F48" s="5"/>
    </row>
    <row r="49" spans="1:6" ht="15.75" customHeight="1" x14ac:dyDescent="0.3">
      <c r="A49" s="5" t="s">
        <v>226</v>
      </c>
      <c r="B49" s="5" t="s">
        <v>60</v>
      </c>
      <c r="C49" s="5" t="s">
        <v>233</v>
      </c>
      <c r="D49" s="5">
        <v>2</v>
      </c>
      <c r="E49" s="5" t="s">
        <v>50</v>
      </c>
      <c r="F49" s="5"/>
    </row>
    <row r="50" spans="1:6" ht="15.75" customHeight="1" x14ac:dyDescent="0.3">
      <c r="A50" s="5" t="s">
        <v>226</v>
      </c>
      <c r="B50" s="5" t="s">
        <v>74</v>
      </c>
      <c r="C50" s="5" t="s">
        <v>234</v>
      </c>
      <c r="D50" s="5">
        <v>3</v>
      </c>
      <c r="E50" s="5" t="s">
        <v>50</v>
      </c>
      <c r="F50" s="5"/>
    </row>
    <row r="51" spans="1:6" ht="15.75" customHeight="1" x14ac:dyDescent="0.3">
      <c r="A51" s="5" t="s">
        <v>226</v>
      </c>
      <c r="B51" s="5" t="s">
        <v>81</v>
      </c>
      <c r="C51" s="5" t="s">
        <v>238</v>
      </c>
      <c r="D51" s="5">
        <v>4</v>
      </c>
      <c r="E51" s="5" t="s">
        <v>50</v>
      </c>
      <c r="F51" s="5"/>
    </row>
    <row r="52" spans="1:6" ht="15.75" customHeight="1" x14ac:dyDescent="0.3">
      <c r="A52" s="5" t="s">
        <v>226</v>
      </c>
      <c r="B52" s="5" t="s">
        <v>86</v>
      </c>
      <c r="C52" s="5" t="s">
        <v>206</v>
      </c>
      <c r="D52" s="5">
        <v>5</v>
      </c>
      <c r="E52" s="5" t="s">
        <v>50</v>
      </c>
      <c r="F52" s="5"/>
    </row>
    <row r="53" spans="1:6" ht="15.75" customHeight="1" x14ac:dyDescent="0.3">
      <c r="A53" s="5" t="s">
        <v>226</v>
      </c>
      <c r="B53" s="5" t="s">
        <v>88</v>
      </c>
      <c r="C53" s="5" t="s">
        <v>249</v>
      </c>
      <c r="D53" s="5">
        <v>6</v>
      </c>
      <c r="E53" s="5" t="s">
        <v>50</v>
      </c>
      <c r="F53" s="5"/>
    </row>
    <row r="54" spans="1:6" ht="15.75" customHeight="1" x14ac:dyDescent="0.3">
      <c r="A54" s="5" t="s">
        <v>226</v>
      </c>
      <c r="B54" s="5" t="s">
        <v>90</v>
      </c>
      <c r="C54" s="5" t="s">
        <v>209</v>
      </c>
      <c r="D54" s="5">
        <v>7</v>
      </c>
      <c r="E54" s="5" t="s">
        <v>50</v>
      </c>
      <c r="F54" s="5"/>
    </row>
    <row r="55" spans="1:6" ht="15.75" customHeight="1" x14ac:dyDescent="0.3">
      <c r="A55" s="3" t="s">
        <v>18</v>
      </c>
      <c r="B55" s="3" t="s">
        <v>40</v>
      </c>
      <c r="C55" s="3" t="s">
        <v>253</v>
      </c>
      <c r="D55" s="3">
        <v>1</v>
      </c>
      <c r="E55" s="3" t="s">
        <v>50</v>
      </c>
      <c r="F55" s="3" t="s">
        <v>254</v>
      </c>
    </row>
    <row r="56" spans="1:6" ht="15.75" customHeight="1" x14ac:dyDescent="0.3">
      <c r="A56" s="3" t="s">
        <v>18</v>
      </c>
      <c r="B56" s="3" t="s">
        <v>60</v>
      </c>
      <c r="C56" s="3" t="s">
        <v>255</v>
      </c>
      <c r="D56" s="3">
        <v>2</v>
      </c>
      <c r="E56" s="3" t="s">
        <v>256</v>
      </c>
      <c r="F56" s="3" t="s">
        <v>257</v>
      </c>
    </row>
    <row r="57" spans="1:6" ht="15.75" customHeight="1" x14ac:dyDescent="0.3">
      <c r="A57" s="3" t="s">
        <v>18</v>
      </c>
      <c r="B57" s="3" t="s">
        <v>74</v>
      </c>
      <c r="C57" s="3" t="s">
        <v>258</v>
      </c>
      <c r="D57" s="3">
        <v>3</v>
      </c>
      <c r="E57" s="3" t="s">
        <v>256</v>
      </c>
      <c r="F57" s="3" t="s">
        <v>257</v>
      </c>
    </row>
    <row r="58" spans="1:6" ht="15.75" customHeight="1" x14ac:dyDescent="0.3">
      <c r="A58" s="3" t="s">
        <v>18</v>
      </c>
      <c r="B58" s="3" t="s">
        <v>81</v>
      </c>
      <c r="C58" s="3" t="s">
        <v>259</v>
      </c>
      <c r="D58" s="3">
        <v>4</v>
      </c>
      <c r="E58" s="3" t="s">
        <v>50</v>
      </c>
      <c r="F58" s="3" t="s">
        <v>109</v>
      </c>
    </row>
    <row r="59" spans="1:6" ht="15.75" customHeight="1" x14ac:dyDescent="0.3">
      <c r="A59" s="3" t="s">
        <v>18</v>
      </c>
      <c r="B59" s="3" t="s">
        <v>86</v>
      </c>
      <c r="C59" s="3" t="s">
        <v>260</v>
      </c>
      <c r="D59" s="3">
        <v>5</v>
      </c>
      <c r="E59" s="3" t="s">
        <v>50</v>
      </c>
      <c r="F59" s="3" t="s">
        <v>109</v>
      </c>
    </row>
    <row r="60" spans="1:6" ht="15.75" customHeight="1" x14ac:dyDescent="0.3">
      <c r="A60" s="3" t="s">
        <v>18</v>
      </c>
      <c r="B60" s="3" t="s">
        <v>88</v>
      </c>
      <c r="C60" s="3" t="s">
        <v>262</v>
      </c>
      <c r="D60" s="3">
        <v>6</v>
      </c>
      <c r="E60" s="3" t="s">
        <v>50</v>
      </c>
      <c r="F60" s="3" t="s">
        <v>109</v>
      </c>
    </row>
    <row r="61" spans="1:6" ht="15.75" customHeight="1" x14ac:dyDescent="0.3">
      <c r="A61" s="3" t="s">
        <v>18</v>
      </c>
      <c r="B61" s="3" t="s">
        <v>90</v>
      </c>
      <c r="C61" s="3" t="s">
        <v>263</v>
      </c>
      <c r="D61" s="3">
        <v>7</v>
      </c>
      <c r="E61" s="3" t="s">
        <v>50</v>
      </c>
      <c r="F61" s="3" t="s">
        <v>109</v>
      </c>
    </row>
    <row r="62" spans="1:6" ht="15.75" customHeight="1" x14ac:dyDescent="0.3">
      <c r="A62" s="3" t="s">
        <v>18</v>
      </c>
      <c r="B62" s="3" t="s">
        <v>92</v>
      </c>
      <c r="C62" s="3" t="s">
        <v>264</v>
      </c>
      <c r="D62" s="3">
        <v>8</v>
      </c>
      <c r="E62" s="3" t="s">
        <v>50</v>
      </c>
      <c r="F62" s="3" t="s">
        <v>109</v>
      </c>
    </row>
    <row r="63" spans="1:6" ht="15.75" customHeight="1" x14ac:dyDescent="0.3">
      <c r="A63" s="3" t="s">
        <v>18</v>
      </c>
      <c r="B63" s="3" t="s">
        <v>95</v>
      </c>
      <c r="C63" s="3" t="s">
        <v>265</v>
      </c>
      <c r="D63" s="3">
        <v>9</v>
      </c>
      <c r="E63" s="3" t="s">
        <v>50</v>
      </c>
      <c r="F63" s="3" t="s">
        <v>109</v>
      </c>
    </row>
    <row r="64" spans="1:6" ht="15.75" customHeight="1" x14ac:dyDescent="0.3">
      <c r="A64" s="3" t="s">
        <v>18</v>
      </c>
      <c r="B64" s="3" t="s">
        <v>99</v>
      </c>
      <c r="C64" s="3" t="s">
        <v>266</v>
      </c>
      <c r="D64" s="3">
        <v>10</v>
      </c>
      <c r="E64" s="3" t="s">
        <v>50</v>
      </c>
      <c r="F64" s="3" t="s">
        <v>109</v>
      </c>
    </row>
    <row r="65" spans="1:6" ht="15.75" customHeight="1" x14ac:dyDescent="0.3">
      <c r="A65" s="3" t="s">
        <v>18</v>
      </c>
      <c r="B65" s="3" t="s">
        <v>105</v>
      </c>
      <c r="C65" s="3" t="s">
        <v>268</v>
      </c>
      <c r="D65" s="3">
        <v>11</v>
      </c>
      <c r="E65" s="3" t="s">
        <v>50</v>
      </c>
      <c r="F65" s="3" t="s">
        <v>109</v>
      </c>
    </row>
    <row r="66" spans="1:6" ht="15.75" customHeight="1" x14ac:dyDescent="0.3">
      <c r="A66" s="3" t="s">
        <v>18</v>
      </c>
      <c r="B66" s="3" t="s">
        <v>110</v>
      </c>
      <c r="C66" s="3" t="s">
        <v>270</v>
      </c>
      <c r="D66" s="3">
        <v>12</v>
      </c>
      <c r="E66" s="3" t="s">
        <v>50</v>
      </c>
      <c r="F66" s="3" t="s">
        <v>109</v>
      </c>
    </row>
    <row r="67" spans="1:6" ht="15.75" customHeight="1" x14ac:dyDescent="0.3">
      <c r="A67" s="3" t="s">
        <v>18</v>
      </c>
      <c r="B67" s="3" t="s">
        <v>115</v>
      </c>
      <c r="C67" s="3" t="s">
        <v>271</v>
      </c>
      <c r="D67" s="3">
        <v>13</v>
      </c>
      <c r="E67" s="3" t="s">
        <v>50</v>
      </c>
      <c r="F67" s="3" t="s">
        <v>109</v>
      </c>
    </row>
    <row r="68" spans="1:6" ht="15.75" customHeight="1" x14ac:dyDescent="0.3">
      <c r="A68" s="3" t="s">
        <v>18</v>
      </c>
      <c r="B68" s="3" t="s">
        <v>272</v>
      </c>
      <c r="C68" s="3" t="s">
        <v>273</v>
      </c>
      <c r="D68" s="3">
        <v>14</v>
      </c>
      <c r="E68" s="3" t="s">
        <v>50</v>
      </c>
      <c r="F68" s="3" t="s">
        <v>109</v>
      </c>
    </row>
    <row r="69" spans="1:6" ht="15.75" customHeight="1" x14ac:dyDescent="0.3">
      <c r="A69" s="3" t="s">
        <v>18</v>
      </c>
      <c r="B69" s="3" t="s">
        <v>275</v>
      </c>
      <c r="C69" s="3" t="s">
        <v>276</v>
      </c>
      <c r="D69" s="3">
        <v>15</v>
      </c>
      <c r="E69" s="3" t="s">
        <v>50</v>
      </c>
      <c r="F69" s="3" t="s">
        <v>109</v>
      </c>
    </row>
    <row r="70" spans="1:6" ht="15.75" customHeight="1" x14ac:dyDescent="0.3"/>
    <row r="71" spans="1:6" ht="15.75" customHeight="1" x14ac:dyDescent="0.3"/>
    <row r="72" spans="1:6" ht="15.75" customHeight="1" x14ac:dyDescent="0.3"/>
    <row r="73" spans="1:6" ht="15.75" customHeight="1" x14ac:dyDescent="0.3"/>
    <row r="74" spans="1:6" ht="15.75" customHeight="1" x14ac:dyDescent="0.3"/>
    <row r="75" spans="1:6" ht="15.75" customHeight="1" x14ac:dyDescent="0.3"/>
    <row r="76" spans="1:6" ht="15.75" customHeight="1" x14ac:dyDescent="0.3"/>
    <row r="77" spans="1:6" ht="15.75" customHeight="1" x14ac:dyDescent="0.3"/>
    <row r="78" spans="1:6" ht="15.75" customHeight="1" x14ac:dyDescent="0.3"/>
    <row r="79" spans="1:6" ht="15.75" customHeight="1" x14ac:dyDescent="0.3"/>
    <row r="80" spans="1:6"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88D3B7FF-1BF3-48D0-80B5-F8CA8DFD008D}" filter="1" showAutoFilter="1">
      <pageMargins left="0.7" right="0.7" top="0.75" bottom="0.75" header="0.3" footer="0.3"/>
      <autoFilter ref="A1:F54" xr:uid="{BD857116-4A86-4F14-9AFD-C4B40C333D5F}"/>
      <extLst>
        <ext uri="GoogleSheetsCustomDataVersion1">
          <go:sheetsCustomData xmlns:go="http://customooxmlschemas.google.com/" filterViewId="1764721147"/>
        </ext>
      </extLst>
    </customSheetView>
  </customSheetViews>
  <pageMargins left="0.75" right="0.75" top="1" bottom="1" header="0" footer="0"/>
  <pageSetup fitToHeight="0" orientation="landscape"/>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34" customWidth="1"/>
    <col min="2" max="2" width="35" customWidth="1"/>
    <col min="3" max="3" width="70" customWidth="1"/>
    <col min="4" max="26" width="8.6640625" customWidth="1"/>
  </cols>
  <sheetData>
    <row r="1" spans="1:3" ht="30" customHeight="1" x14ac:dyDescent="0.3">
      <c r="A1" s="4" t="s">
        <v>21</v>
      </c>
      <c r="B1" s="4" t="s">
        <v>23</v>
      </c>
      <c r="C1" s="4" t="s">
        <v>26</v>
      </c>
    </row>
    <row r="2" spans="1:3" ht="14.4" x14ac:dyDescent="0.3">
      <c r="A2" s="5" t="s">
        <v>29</v>
      </c>
      <c r="B2" s="5" t="s">
        <v>1</v>
      </c>
      <c r="C2" s="5" t="s">
        <v>31</v>
      </c>
    </row>
    <row r="3" spans="1:3" ht="14.4" x14ac:dyDescent="0.3">
      <c r="A3" s="5" t="s">
        <v>33</v>
      </c>
      <c r="B3" s="5" t="s">
        <v>36</v>
      </c>
      <c r="C3" s="5" t="s">
        <v>39</v>
      </c>
    </row>
    <row r="4" spans="1:3" ht="14.4" x14ac:dyDescent="0.3">
      <c r="A4" s="5" t="s">
        <v>42</v>
      </c>
      <c r="B4" s="6" t="s">
        <v>45</v>
      </c>
      <c r="C4" s="5" t="s">
        <v>47</v>
      </c>
    </row>
    <row r="5" spans="1:3" ht="14.4" x14ac:dyDescent="0.3">
      <c r="A5" s="5" t="s">
        <v>48</v>
      </c>
      <c r="B5" s="5" t="s">
        <v>51</v>
      </c>
      <c r="C5" s="5" t="s">
        <v>53</v>
      </c>
    </row>
    <row r="6" spans="1:3" ht="14.4" x14ac:dyDescent="0.3">
      <c r="A6" s="5" t="s">
        <v>55</v>
      </c>
      <c r="B6" s="5" t="s">
        <v>56</v>
      </c>
      <c r="C6" s="5" t="s">
        <v>58</v>
      </c>
    </row>
    <row r="7" spans="1:3" ht="14.4" x14ac:dyDescent="0.3">
      <c r="A7" s="5" t="s">
        <v>61</v>
      </c>
      <c r="B7" s="5" t="s">
        <v>62</v>
      </c>
      <c r="C7" s="5" t="s">
        <v>64</v>
      </c>
    </row>
    <row r="8" spans="1:3" ht="14.4" x14ac:dyDescent="0.3">
      <c r="A8" s="5" t="s">
        <v>65</v>
      </c>
      <c r="B8" s="5" t="s">
        <v>66</v>
      </c>
      <c r="C8" s="5" t="s">
        <v>67</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CAE7A42C-5CF6-48E7-AFC2-D1CD6A9903D4}" filter="1" showAutoFilter="1">
      <pageMargins left="0.7" right="0.7" top="0.75" bottom="0.75" header="0.3" footer="0.3"/>
      <autoFilter ref="A1:C8" xr:uid="{F37DB783-579D-4BE6-A0BF-024CCAD1FFE5}"/>
      <extLst>
        <ext uri="GoogleSheetsCustomDataVersion1">
          <go:sheetsCustomData xmlns:go="http://customooxmlschemas.google.com/" filterViewId="1090180528"/>
        </ext>
      </extLst>
    </customSheetView>
  </customSheetViews>
  <pageMargins left="0.75" right="0.75" top="1" bottom="1" header="0" footer="0"/>
  <pageSetup fitToHeight="0" orientation="landscape"/>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22" customWidth="1"/>
    <col min="2" max="2" width="32" customWidth="1"/>
    <col min="3" max="3" width="18" customWidth="1"/>
    <col min="4" max="4" width="14" customWidth="1"/>
    <col min="5" max="5" width="40" customWidth="1"/>
    <col min="6" max="26" width="8.6640625" customWidth="1"/>
  </cols>
  <sheetData>
    <row r="1" spans="1:5" ht="30" customHeight="1" x14ac:dyDescent="0.3">
      <c r="A1" s="4" t="s">
        <v>94</v>
      </c>
      <c r="B1" s="4" t="s">
        <v>96</v>
      </c>
      <c r="C1" s="4" t="s">
        <v>23</v>
      </c>
      <c r="D1" s="4" t="s">
        <v>98</v>
      </c>
      <c r="E1" s="4" t="s">
        <v>26</v>
      </c>
    </row>
    <row r="2" spans="1:5" ht="14.4" x14ac:dyDescent="0.3">
      <c r="A2" s="5" t="s">
        <v>100</v>
      </c>
      <c r="B2" s="5" t="s">
        <v>102</v>
      </c>
      <c r="C2" s="5">
        <v>0.95</v>
      </c>
      <c r="D2" s="5" t="s">
        <v>103</v>
      </c>
      <c r="E2" s="5" t="s">
        <v>102</v>
      </c>
    </row>
    <row r="3" spans="1:5" ht="14.4" x14ac:dyDescent="0.3">
      <c r="A3" s="5" t="s">
        <v>100</v>
      </c>
      <c r="B3" s="5" t="s">
        <v>104</v>
      </c>
      <c r="C3" s="5">
        <v>0.95</v>
      </c>
      <c r="D3" s="5" t="s">
        <v>103</v>
      </c>
      <c r="E3" s="5" t="s">
        <v>107</v>
      </c>
    </row>
    <row r="4" spans="1:5" ht="14.4" x14ac:dyDescent="0.3">
      <c r="A4" s="5" t="s">
        <v>100</v>
      </c>
      <c r="B4" s="5" t="s">
        <v>108</v>
      </c>
      <c r="C4" s="5">
        <v>616</v>
      </c>
      <c r="D4" s="5" t="s">
        <v>109</v>
      </c>
      <c r="E4" s="5" t="s">
        <v>111</v>
      </c>
    </row>
    <row r="5" spans="1:5" ht="14.4" x14ac:dyDescent="0.3">
      <c r="A5" s="5" t="s">
        <v>100</v>
      </c>
      <c r="B5" s="5" t="s">
        <v>113</v>
      </c>
      <c r="C5" s="5">
        <v>584</v>
      </c>
      <c r="D5" s="5" t="s">
        <v>109</v>
      </c>
      <c r="E5" s="5" t="s">
        <v>113</v>
      </c>
    </row>
    <row r="6" spans="1:5" ht="14.4" x14ac:dyDescent="0.3">
      <c r="A6" s="5" t="s">
        <v>100</v>
      </c>
      <c r="B6" s="5" t="s">
        <v>114</v>
      </c>
      <c r="C6" s="5">
        <v>32</v>
      </c>
      <c r="D6" s="5" t="s">
        <v>109</v>
      </c>
      <c r="E6" s="5" t="s">
        <v>114</v>
      </c>
    </row>
    <row r="7" spans="1:5" ht="14.4" x14ac:dyDescent="0.3">
      <c r="A7" s="5" t="s">
        <v>100</v>
      </c>
      <c r="B7" s="5" t="s">
        <v>117</v>
      </c>
      <c r="C7" s="5">
        <v>18000000</v>
      </c>
      <c r="D7" s="5" t="s">
        <v>118</v>
      </c>
      <c r="E7" s="5" t="s">
        <v>120</v>
      </c>
    </row>
    <row r="8" spans="1:5" ht="14.4" x14ac:dyDescent="0.3">
      <c r="A8" s="5" t="s">
        <v>100</v>
      </c>
      <c r="B8" s="5" t="s">
        <v>121</v>
      </c>
      <c r="C8" s="5">
        <v>11200000</v>
      </c>
      <c r="D8" s="5" t="s">
        <v>118</v>
      </c>
      <c r="E8" s="5" t="s">
        <v>123</v>
      </c>
    </row>
    <row r="9" spans="1:5" ht="14.4" x14ac:dyDescent="0.3">
      <c r="A9" s="5" t="s">
        <v>100</v>
      </c>
      <c r="B9" s="5" t="s">
        <v>124</v>
      </c>
      <c r="C9" s="5">
        <v>0.622</v>
      </c>
      <c r="D9" s="5" t="s">
        <v>103</v>
      </c>
      <c r="E9" s="5" t="s">
        <v>126</v>
      </c>
    </row>
    <row r="10" spans="1:5" ht="14.4" x14ac:dyDescent="0.3">
      <c r="A10" s="5" t="s">
        <v>100</v>
      </c>
      <c r="B10" s="5" t="s">
        <v>127</v>
      </c>
      <c r="C10" s="5">
        <v>222439</v>
      </c>
      <c r="D10" s="5" t="s">
        <v>118</v>
      </c>
      <c r="E10" s="5" t="s">
        <v>128</v>
      </c>
    </row>
    <row r="11" spans="1:5" ht="14.4" x14ac:dyDescent="0.3">
      <c r="A11" s="5" t="s">
        <v>129</v>
      </c>
      <c r="B11" s="5" t="s">
        <v>130</v>
      </c>
      <c r="C11" s="5">
        <v>23261</v>
      </c>
      <c r="D11" s="5" t="s">
        <v>109</v>
      </c>
      <c r="E11" s="5" t="s">
        <v>132</v>
      </c>
    </row>
    <row r="12" spans="1:5" ht="14.4" x14ac:dyDescent="0.3">
      <c r="A12" s="5" t="s">
        <v>129</v>
      </c>
      <c r="B12" s="5" t="s">
        <v>133</v>
      </c>
      <c r="C12" s="5">
        <v>4.7</v>
      </c>
      <c r="D12" s="5" t="s">
        <v>135</v>
      </c>
      <c r="E12" s="5" t="s">
        <v>136</v>
      </c>
    </row>
    <row r="13" spans="1:5" ht="14.4" x14ac:dyDescent="0.3">
      <c r="A13" s="5" t="s">
        <v>129</v>
      </c>
      <c r="B13" s="5" t="s">
        <v>137</v>
      </c>
      <c r="C13" s="5">
        <v>4.7</v>
      </c>
      <c r="D13" s="5" t="s">
        <v>135</v>
      </c>
      <c r="E13" s="5" t="s">
        <v>136</v>
      </c>
    </row>
    <row r="14" spans="1:5" ht="14.4" x14ac:dyDescent="0.3">
      <c r="A14" s="5" t="s">
        <v>129</v>
      </c>
      <c r="B14" s="5" t="s">
        <v>138</v>
      </c>
      <c r="C14" s="5">
        <v>9.4</v>
      </c>
      <c r="D14" s="5" t="s">
        <v>135</v>
      </c>
      <c r="E14" s="5" t="s">
        <v>136</v>
      </c>
    </row>
    <row r="15" spans="1:5" ht="14.4" x14ac:dyDescent="0.3">
      <c r="A15" s="5" t="s">
        <v>129</v>
      </c>
      <c r="B15" s="5" t="s">
        <v>140</v>
      </c>
      <c r="C15" s="5">
        <v>4.5</v>
      </c>
      <c r="D15" s="5" t="s">
        <v>141</v>
      </c>
      <c r="E15" s="5" t="s">
        <v>142</v>
      </c>
    </row>
    <row r="16" spans="1:5" ht="14.4" x14ac:dyDescent="0.3">
      <c r="A16" s="5" t="s">
        <v>143</v>
      </c>
      <c r="B16" s="5" t="s">
        <v>144</v>
      </c>
      <c r="C16" s="5">
        <v>0.72</v>
      </c>
      <c r="D16" s="5" t="s">
        <v>103</v>
      </c>
      <c r="E16" s="5" t="s">
        <v>146</v>
      </c>
    </row>
    <row r="17" spans="1:5" ht="14.4" x14ac:dyDescent="0.3">
      <c r="A17" s="5" t="s">
        <v>143</v>
      </c>
      <c r="B17" s="5" t="s">
        <v>147</v>
      </c>
      <c r="C17" s="5">
        <v>0.57999999999999996</v>
      </c>
      <c r="D17" s="5" t="s">
        <v>103</v>
      </c>
      <c r="E17" s="5" t="s">
        <v>148</v>
      </c>
    </row>
    <row r="18" spans="1:5" ht="14.4" x14ac:dyDescent="0.3">
      <c r="A18" s="5" t="s">
        <v>143</v>
      </c>
      <c r="B18" s="5" t="s">
        <v>150</v>
      </c>
      <c r="C18" s="5">
        <v>0.77</v>
      </c>
      <c r="D18" s="5" t="s">
        <v>103</v>
      </c>
      <c r="E18" s="5" t="s">
        <v>151</v>
      </c>
    </row>
    <row r="19" spans="1:5" ht="14.4" x14ac:dyDescent="0.3">
      <c r="A19" s="5" t="s">
        <v>143</v>
      </c>
      <c r="B19" s="5" t="s">
        <v>153</v>
      </c>
      <c r="C19" s="5">
        <v>120557</v>
      </c>
      <c r="D19" s="5" t="s">
        <v>109</v>
      </c>
      <c r="E19" s="5" t="s">
        <v>154</v>
      </c>
    </row>
    <row r="20" spans="1:5" ht="14.4" x14ac:dyDescent="0.3">
      <c r="A20" s="5" t="s">
        <v>143</v>
      </c>
      <c r="B20" s="5" t="s">
        <v>155</v>
      </c>
      <c r="C20" s="5">
        <v>114513</v>
      </c>
      <c r="D20" s="5" t="s">
        <v>109</v>
      </c>
      <c r="E20" s="5" t="s">
        <v>123</v>
      </c>
    </row>
    <row r="21" spans="1:5" ht="15.75" customHeight="1" x14ac:dyDescent="0.3">
      <c r="A21" s="5" t="s">
        <v>143</v>
      </c>
      <c r="B21" s="5" t="s">
        <v>157</v>
      </c>
      <c r="C21" s="5">
        <v>678</v>
      </c>
      <c r="D21" s="5" t="s">
        <v>109</v>
      </c>
      <c r="E21" s="5" t="s">
        <v>160</v>
      </c>
    </row>
    <row r="22" spans="1:5" ht="15.75" customHeight="1" x14ac:dyDescent="0.3">
      <c r="A22" s="5" t="s">
        <v>161</v>
      </c>
      <c r="B22" s="5" t="s">
        <v>161</v>
      </c>
      <c r="C22" s="5">
        <v>19</v>
      </c>
      <c r="D22" s="5" t="s">
        <v>109</v>
      </c>
      <c r="E22" s="5" t="s">
        <v>162</v>
      </c>
    </row>
    <row r="23" spans="1:5" ht="15.75" customHeight="1" x14ac:dyDescent="0.3">
      <c r="A23" s="5" t="s">
        <v>161</v>
      </c>
      <c r="B23" s="5" t="s">
        <v>163</v>
      </c>
      <c r="C23" s="5">
        <v>8</v>
      </c>
      <c r="D23" s="5" t="s">
        <v>109</v>
      </c>
      <c r="E23" s="5" t="s">
        <v>167</v>
      </c>
    </row>
    <row r="24" spans="1:5" ht="15.75" customHeight="1" x14ac:dyDescent="0.3">
      <c r="A24" s="5" t="s">
        <v>161</v>
      </c>
      <c r="B24" s="5" t="s">
        <v>172</v>
      </c>
      <c r="C24" s="5">
        <v>11</v>
      </c>
      <c r="D24" s="5" t="s">
        <v>109</v>
      </c>
      <c r="E24" s="5" t="s">
        <v>177</v>
      </c>
    </row>
    <row r="25" spans="1:5" ht="15.75" customHeight="1" x14ac:dyDescent="0.3">
      <c r="A25" s="5" t="s">
        <v>181</v>
      </c>
      <c r="B25" s="5" t="s">
        <v>183</v>
      </c>
      <c r="C25" s="5">
        <v>18</v>
      </c>
      <c r="D25" s="5" t="s">
        <v>109</v>
      </c>
      <c r="E25" s="5" t="s">
        <v>183</v>
      </c>
    </row>
    <row r="26" spans="1:5" ht="15.75" customHeight="1" x14ac:dyDescent="0.3">
      <c r="A26" s="5" t="s">
        <v>181</v>
      </c>
      <c r="B26" s="5" t="s">
        <v>194</v>
      </c>
      <c r="C26" s="5">
        <v>11</v>
      </c>
      <c r="D26" s="5" t="s">
        <v>109</v>
      </c>
      <c r="E26" s="5" t="s">
        <v>194</v>
      </c>
    </row>
    <row r="27" spans="1:5" ht="15.75" customHeight="1" x14ac:dyDescent="0.3">
      <c r="A27" s="5" t="s">
        <v>181</v>
      </c>
      <c r="B27" s="5" t="s">
        <v>198</v>
      </c>
      <c r="C27" s="5">
        <v>7</v>
      </c>
      <c r="D27" s="5" t="s">
        <v>109</v>
      </c>
      <c r="E27" s="5" t="s">
        <v>198</v>
      </c>
    </row>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9FF1AA4C-5BBD-4C34-A5BB-FAEFE4E686C3}" filter="1" showAutoFilter="1">
      <pageMargins left="0.7" right="0.7" top="0.75" bottom="0.75" header="0.3" footer="0.3"/>
      <autoFilter ref="A1:E27" xr:uid="{B91F0232-CBC0-4469-975E-31600C09764B}"/>
      <extLst>
        <ext uri="GoogleSheetsCustomDataVersion1">
          <go:sheetsCustomData xmlns:go="http://customooxmlschemas.google.com/" filterViewId="1136222140"/>
        </ext>
      </extLst>
    </customSheetView>
  </customSheetViews>
  <pageMargins left="0.75" right="0.75" top="1" bottom="1" header="0" footer="0"/>
  <pageSetup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16" customWidth="1"/>
    <col min="2" max="2" width="28" customWidth="1"/>
    <col min="3" max="13" width="15" customWidth="1"/>
    <col min="14" max="26" width="8.6640625" customWidth="1"/>
  </cols>
  <sheetData>
    <row r="1" spans="1:13" ht="30" customHeight="1" x14ac:dyDescent="0.3">
      <c r="A1" s="4" t="s">
        <v>169</v>
      </c>
      <c r="B1" s="4" t="s">
        <v>173</v>
      </c>
      <c r="C1" s="4" t="s">
        <v>175</v>
      </c>
      <c r="D1" s="4" t="s">
        <v>176</v>
      </c>
      <c r="E1" s="4" t="s">
        <v>178</v>
      </c>
      <c r="F1" s="4" t="s">
        <v>180</v>
      </c>
      <c r="G1" s="4" t="s">
        <v>182</v>
      </c>
      <c r="H1" s="4" t="s">
        <v>185</v>
      </c>
      <c r="I1" s="4" t="s">
        <v>186</v>
      </c>
      <c r="J1" s="4" t="s">
        <v>188</v>
      </c>
      <c r="K1" s="4" t="s">
        <v>189</v>
      </c>
      <c r="L1" s="4" t="s">
        <v>191</v>
      </c>
      <c r="M1" s="4" t="s">
        <v>192</v>
      </c>
    </row>
    <row r="2" spans="1:13" ht="14.4" x14ac:dyDescent="0.3">
      <c r="A2" s="5" t="s">
        <v>195</v>
      </c>
      <c r="B2" s="5" t="s">
        <v>197</v>
      </c>
      <c r="C2" s="5">
        <v>9</v>
      </c>
      <c r="D2" s="5">
        <v>8</v>
      </c>
      <c r="E2" s="5">
        <v>0</v>
      </c>
      <c r="F2" s="5">
        <v>9</v>
      </c>
      <c r="G2" s="5">
        <v>8</v>
      </c>
      <c r="H2" s="5">
        <v>0</v>
      </c>
      <c r="I2" s="5">
        <v>0</v>
      </c>
      <c r="J2" s="5">
        <v>0</v>
      </c>
      <c r="K2" s="5">
        <v>0</v>
      </c>
      <c r="L2" s="5">
        <v>0</v>
      </c>
      <c r="M2" s="5">
        <v>100</v>
      </c>
    </row>
    <row r="3" spans="1:13" ht="14.4" x14ac:dyDescent="0.3">
      <c r="A3" s="5" t="s">
        <v>195</v>
      </c>
      <c r="B3" s="5" t="s">
        <v>201</v>
      </c>
      <c r="C3" s="5">
        <v>1</v>
      </c>
      <c r="D3" s="5">
        <v>0</v>
      </c>
      <c r="E3" s="5">
        <v>0</v>
      </c>
      <c r="F3" s="5">
        <v>1</v>
      </c>
      <c r="G3" s="5">
        <v>0</v>
      </c>
      <c r="H3" s="5">
        <v>0</v>
      </c>
      <c r="I3" s="5">
        <v>0</v>
      </c>
      <c r="J3" s="5">
        <v>0</v>
      </c>
      <c r="K3" s="5">
        <v>0</v>
      </c>
      <c r="L3" s="5">
        <v>0</v>
      </c>
      <c r="M3" s="5">
        <v>100</v>
      </c>
    </row>
    <row r="4" spans="1:13" ht="14.4" x14ac:dyDescent="0.3">
      <c r="A4" s="5" t="s">
        <v>195</v>
      </c>
      <c r="B4" s="5" t="s">
        <v>204</v>
      </c>
      <c r="C4" s="5">
        <v>3</v>
      </c>
      <c r="D4" s="5">
        <v>2</v>
      </c>
      <c r="E4" s="5">
        <v>0</v>
      </c>
      <c r="F4" s="5">
        <v>3</v>
      </c>
      <c r="G4" s="5">
        <v>2</v>
      </c>
      <c r="H4" s="5">
        <v>0</v>
      </c>
      <c r="I4" s="5">
        <v>0</v>
      </c>
      <c r="J4" s="5">
        <v>0</v>
      </c>
      <c r="K4" s="5">
        <v>0</v>
      </c>
      <c r="L4" s="5">
        <v>0</v>
      </c>
      <c r="M4" s="5">
        <v>100</v>
      </c>
    </row>
    <row r="5" spans="1:13" ht="14.4" x14ac:dyDescent="0.3">
      <c r="A5" s="5" t="s">
        <v>195</v>
      </c>
      <c r="B5" s="5" t="s">
        <v>207</v>
      </c>
      <c r="C5" s="5">
        <v>15</v>
      </c>
      <c r="D5" s="5">
        <v>15</v>
      </c>
      <c r="E5" s="5">
        <v>8</v>
      </c>
      <c r="F5" s="5">
        <v>15</v>
      </c>
      <c r="G5" s="5">
        <v>15</v>
      </c>
      <c r="H5" s="5">
        <v>8</v>
      </c>
      <c r="I5" s="5">
        <v>0</v>
      </c>
      <c r="J5" s="5">
        <v>0</v>
      </c>
      <c r="K5" s="5">
        <v>0</v>
      </c>
      <c r="L5" s="5">
        <v>0</v>
      </c>
      <c r="M5" s="5">
        <v>100</v>
      </c>
    </row>
    <row r="6" spans="1:13" ht="14.4" x14ac:dyDescent="0.3">
      <c r="A6" s="5" t="s">
        <v>195</v>
      </c>
      <c r="B6" s="5" t="s">
        <v>211</v>
      </c>
      <c r="C6" s="5">
        <v>19</v>
      </c>
      <c r="D6" s="5">
        <v>19</v>
      </c>
      <c r="E6" s="5">
        <v>12</v>
      </c>
      <c r="F6" s="5">
        <v>19</v>
      </c>
      <c r="G6" s="5">
        <v>19</v>
      </c>
      <c r="H6" s="5">
        <v>12</v>
      </c>
      <c r="I6" s="5">
        <v>0</v>
      </c>
      <c r="J6" s="5">
        <v>0</v>
      </c>
      <c r="K6" s="5">
        <v>0</v>
      </c>
      <c r="L6" s="5">
        <v>0</v>
      </c>
      <c r="M6" s="5">
        <v>100</v>
      </c>
    </row>
    <row r="7" spans="1:13" ht="14.4" x14ac:dyDescent="0.3">
      <c r="A7" s="5" t="s">
        <v>213</v>
      </c>
      <c r="B7" s="5" t="s">
        <v>214</v>
      </c>
      <c r="C7" s="5">
        <v>1</v>
      </c>
      <c r="D7" s="5">
        <v>2</v>
      </c>
      <c r="E7" s="5">
        <v>0</v>
      </c>
      <c r="F7" s="5">
        <v>1</v>
      </c>
      <c r="G7" s="5">
        <v>2</v>
      </c>
      <c r="H7" s="5">
        <v>0</v>
      </c>
      <c r="I7" s="5">
        <v>0</v>
      </c>
      <c r="J7" s="5">
        <v>0</v>
      </c>
      <c r="K7" s="5">
        <v>0</v>
      </c>
      <c r="L7" s="5">
        <v>0</v>
      </c>
      <c r="M7" s="5">
        <v>100</v>
      </c>
    </row>
    <row r="8" spans="1:13" ht="14.4" x14ac:dyDescent="0.3">
      <c r="A8" s="5" t="s">
        <v>213</v>
      </c>
      <c r="B8" s="5" t="s">
        <v>216</v>
      </c>
      <c r="C8" s="5">
        <v>16</v>
      </c>
      <c r="D8" s="5">
        <v>10</v>
      </c>
      <c r="E8" s="5">
        <v>0</v>
      </c>
      <c r="F8" s="5">
        <v>16</v>
      </c>
      <c r="G8" s="5">
        <v>10</v>
      </c>
      <c r="H8" s="5">
        <v>0</v>
      </c>
      <c r="I8" s="5">
        <v>0</v>
      </c>
      <c r="J8" s="5">
        <v>0</v>
      </c>
      <c r="K8" s="5">
        <v>0</v>
      </c>
      <c r="L8" s="5">
        <v>0</v>
      </c>
      <c r="M8" s="5">
        <v>100</v>
      </c>
    </row>
    <row r="9" spans="1:13" ht="14.4" x14ac:dyDescent="0.3">
      <c r="A9" s="5" t="s">
        <v>213</v>
      </c>
      <c r="B9" s="5" t="s">
        <v>217</v>
      </c>
      <c r="C9" s="5">
        <v>15</v>
      </c>
      <c r="D9" s="5">
        <v>15</v>
      </c>
      <c r="E9" s="5">
        <v>8</v>
      </c>
      <c r="F9" s="5">
        <v>15</v>
      </c>
      <c r="G9" s="5">
        <v>15</v>
      </c>
      <c r="H9" s="5">
        <v>8</v>
      </c>
      <c r="I9" s="5">
        <v>0</v>
      </c>
      <c r="J9" s="5">
        <v>0</v>
      </c>
      <c r="K9" s="5">
        <v>0</v>
      </c>
      <c r="L9" s="5">
        <v>0</v>
      </c>
      <c r="M9" s="5">
        <v>100</v>
      </c>
    </row>
    <row r="10" spans="1:13" ht="14.4" x14ac:dyDescent="0.3">
      <c r="A10" s="5" t="s">
        <v>213</v>
      </c>
      <c r="B10" s="5" t="s">
        <v>221</v>
      </c>
      <c r="C10" s="5">
        <v>8</v>
      </c>
      <c r="D10" s="5">
        <v>7</v>
      </c>
      <c r="E10" s="5">
        <v>0</v>
      </c>
      <c r="F10" s="5">
        <v>8</v>
      </c>
      <c r="G10" s="5">
        <v>7</v>
      </c>
      <c r="H10" s="5">
        <v>0</v>
      </c>
      <c r="I10" s="5">
        <v>0</v>
      </c>
      <c r="J10" s="5">
        <v>0</v>
      </c>
      <c r="K10" s="5">
        <v>0</v>
      </c>
      <c r="L10" s="5">
        <v>0</v>
      </c>
      <c r="M10" s="5">
        <v>100</v>
      </c>
    </row>
    <row r="11" spans="1:13" ht="14.4" x14ac:dyDescent="0.3">
      <c r="A11" s="5" t="s">
        <v>213</v>
      </c>
      <c r="B11" s="5" t="s">
        <v>223</v>
      </c>
      <c r="C11" s="5">
        <v>13</v>
      </c>
      <c r="D11" s="5">
        <v>8</v>
      </c>
      <c r="E11" s="5">
        <v>0</v>
      </c>
      <c r="F11" s="5">
        <v>13</v>
      </c>
      <c r="G11" s="5">
        <v>8</v>
      </c>
      <c r="H11" s="5">
        <v>0</v>
      </c>
      <c r="I11" s="5">
        <v>0</v>
      </c>
      <c r="J11" s="5">
        <v>0</v>
      </c>
      <c r="K11" s="5">
        <v>0</v>
      </c>
      <c r="L11" s="5">
        <v>0</v>
      </c>
      <c r="M11" s="5">
        <v>100</v>
      </c>
    </row>
    <row r="12" spans="1:13" ht="14.4" x14ac:dyDescent="0.3">
      <c r="A12" s="5" t="s">
        <v>213</v>
      </c>
      <c r="B12" s="5" t="s">
        <v>230</v>
      </c>
      <c r="C12" s="5">
        <v>1</v>
      </c>
      <c r="D12" s="5">
        <v>0</v>
      </c>
      <c r="E12" s="5">
        <v>0</v>
      </c>
      <c r="F12" s="5">
        <v>1</v>
      </c>
      <c r="G12" s="5">
        <v>0</v>
      </c>
      <c r="H12" s="5">
        <v>0</v>
      </c>
      <c r="I12" s="5">
        <v>0</v>
      </c>
      <c r="J12" s="5">
        <v>0</v>
      </c>
      <c r="K12" s="5">
        <v>0</v>
      </c>
      <c r="L12" s="5">
        <v>0</v>
      </c>
      <c r="M12" s="5">
        <v>100</v>
      </c>
    </row>
    <row r="13" spans="1:13" ht="14.4" x14ac:dyDescent="0.3">
      <c r="A13" s="5" t="s">
        <v>213</v>
      </c>
      <c r="B13" s="5" t="s">
        <v>236</v>
      </c>
      <c r="C13" s="5">
        <v>9</v>
      </c>
      <c r="D13" s="5">
        <v>9</v>
      </c>
      <c r="E13" s="5">
        <v>0</v>
      </c>
      <c r="F13" s="5">
        <v>9</v>
      </c>
      <c r="G13" s="5">
        <v>9</v>
      </c>
      <c r="H13" s="5">
        <v>0</v>
      </c>
      <c r="I13" s="5">
        <v>0</v>
      </c>
      <c r="J13" s="5">
        <v>0</v>
      </c>
      <c r="K13" s="5">
        <v>0</v>
      </c>
      <c r="L13" s="5">
        <v>0</v>
      </c>
      <c r="M13" s="5">
        <v>100</v>
      </c>
    </row>
    <row r="14" spans="1:13" ht="14.4" x14ac:dyDescent="0.3">
      <c r="A14" s="5" t="s">
        <v>213</v>
      </c>
      <c r="B14" s="5" t="s">
        <v>246</v>
      </c>
      <c r="C14" s="5">
        <v>10</v>
      </c>
      <c r="D14" s="5">
        <v>9</v>
      </c>
      <c r="E14" s="5">
        <v>0</v>
      </c>
      <c r="F14" s="5">
        <v>10</v>
      </c>
      <c r="G14" s="5">
        <v>9</v>
      </c>
      <c r="H14" s="5">
        <v>0</v>
      </c>
      <c r="I14" s="5">
        <v>0</v>
      </c>
      <c r="J14" s="5">
        <v>0</v>
      </c>
      <c r="K14" s="5">
        <v>0</v>
      </c>
      <c r="L14" s="5">
        <v>0</v>
      </c>
      <c r="M14" s="5">
        <v>100</v>
      </c>
    </row>
    <row r="15" spans="1:13" ht="14.4" x14ac:dyDescent="0.3">
      <c r="A15" s="5" t="s">
        <v>213</v>
      </c>
      <c r="B15" s="5" t="s">
        <v>251</v>
      </c>
      <c r="C15" s="5">
        <v>17</v>
      </c>
      <c r="D15" s="5">
        <v>18</v>
      </c>
      <c r="E15" s="5">
        <v>0</v>
      </c>
      <c r="F15" s="5">
        <v>16</v>
      </c>
      <c r="G15" s="5">
        <v>18</v>
      </c>
      <c r="H15" s="5">
        <v>0</v>
      </c>
      <c r="I15" s="5">
        <v>1</v>
      </c>
      <c r="J15" s="5">
        <v>0</v>
      </c>
      <c r="K15" s="5">
        <v>0</v>
      </c>
      <c r="L15" s="5">
        <v>1</v>
      </c>
      <c r="M15" s="5">
        <v>97</v>
      </c>
    </row>
    <row r="16" spans="1:13" ht="14.4" x14ac:dyDescent="0.3">
      <c r="A16" s="5" t="s">
        <v>195</v>
      </c>
      <c r="B16" s="5" t="s">
        <v>269</v>
      </c>
      <c r="C16" s="5">
        <v>9</v>
      </c>
      <c r="D16" s="5">
        <v>10</v>
      </c>
      <c r="E16" s="5">
        <v>5</v>
      </c>
      <c r="F16" s="5">
        <v>9</v>
      </c>
      <c r="G16" s="5">
        <v>9</v>
      </c>
      <c r="H16" s="5">
        <v>5</v>
      </c>
      <c r="I16" s="5">
        <v>0</v>
      </c>
      <c r="J16" s="5">
        <v>1</v>
      </c>
      <c r="K16" s="5">
        <v>0</v>
      </c>
      <c r="L16" s="5">
        <v>1</v>
      </c>
      <c r="M16" s="5">
        <v>96</v>
      </c>
    </row>
    <row r="17" spans="1:13" ht="14.4" x14ac:dyDescent="0.3">
      <c r="A17" s="5" t="s">
        <v>213</v>
      </c>
      <c r="B17" s="5" t="s">
        <v>278</v>
      </c>
      <c r="C17" s="5">
        <v>10</v>
      </c>
      <c r="D17" s="5">
        <v>8</v>
      </c>
      <c r="E17" s="5">
        <v>0</v>
      </c>
      <c r="F17" s="5">
        <v>10</v>
      </c>
      <c r="G17" s="5">
        <v>7</v>
      </c>
      <c r="H17" s="5">
        <v>0</v>
      </c>
      <c r="I17" s="5">
        <v>0</v>
      </c>
      <c r="J17" s="5">
        <v>1</v>
      </c>
      <c r="K17" s="5">
        <v>0</v>
      </c>
      <c r="L17" s="5">
        <v>1</v>
      </c>
      <c r="M17" s="5">
        <v>94</v>
      </c>
    </row>
    <row r="18" spans="1:13" ht="14.4" x14ac:dyDescent="0.3">
      <c r="A18" s="5" t="s">
        <v>195</v>
      </c>
      <c r="B18" s="5" t="s">
        <v>281</v>
      </c>
      <c r="C18" s="5">
        <v>18</v>
      </c>
      <c r="D18" s="5">
        <v>18</v>
      </c>
      <c r="E18" s="5">
        <v>9</v>
      </c>
      <c r="F18" s="5">
        <v>16</v>
      </c>
      <c r="G18" s="5">
        <v>18</v>
      </c>
      <c r="H18" s="5">
        <v>8</v>
      </c>
      <c r="I18" s="5">
        <v>2</v>
      </c>
      <c r="J18" s="5">
        <v>0</v>
      </c>
      <c r="K18" s="5">
        <v>1</v>
      </c>
      <c r="L18" s="5">
        <v>3</v>
      </c>
      <c r="M18" s="5">
        <v>93</v>
      </c>
    </row>
    <row r="19" spans="1:13" ht="14.4" x14ac:dyDescent="0.3">
      <c r="A19" s="5" t="s">
        <v>213</v>
      </c>
      <c r="B19" s="5" t="s">
        <v>284</v>
      </c>
      <c r="C19" s="5">
        <v>18</v>
      </c>
      <c r="D19" s="5">
        <v>17</v>
      </c>
      <c r="E19" s="5">
        <v>8</v>
      </c>
      <c r="F19" s="5">
        <v>18</v>
      </c>
      <c r="G19" s="5">
        <v>14</v>
      </c>
      <c r="H19" s="5">
        <v>8</v>
      </c>
      <c r="I19" s="5">
        <v>0</v>
      </c>
      <c r="J19" s="5">
        <v>3</v>
      </c>
      <c r="K19" s="5">
        <v>0</v>
      </c>
      <c r="L19" s="5">
        <v>3</v>
      </c>
      <c r="M19" s="5">
        <v>93</v>
      </c>
    </row>
    <row r="20" spans="1:13" ht="14.4" x14ac:dyDescent="0.3">
      <c r="A20" s="5" t="s">
        <v>195</v>
      </c>
      <c r="B20" s="5" t="s">
        <v>287</v>
      </c>
      <c r="C20" s="5">
        <v>7</v>
      </c>
      <c r="D20" s="5">
        <v>6</v>
      </c>
      <c r="E20" s="5">
        <v>0</v>
      </c>
      <c r="F20" s="5">
        <v>7</v>
      </c>
      <c r="G20" s="5">
        <v>5</v>
      </c>
      <c r="H20" s="5">
        <v>0</v>
      </c>
      <c r="I20" s="5">
        <v>0</v>
      </c>
      <c r="J20" s="5">
        <v>1</v>
      </c>
      <c r="K20" s="5">
        <v>0</v>
      </c>
      <c r="L20" s="5">
        <v>1</v>
      </c>
      <c r="M20" s="5">
        <v>92</v>
      </c>
    </row>
    <row r="21" spans="1:13" ht="15.75" customHeight="1" x14ac:dyDescent="0.3">
      <c r="A21" s="5" t="s">
        <v>195</v>
      </c>
      <c r="B21" s="5" t="s">
        <v>290</v>
      </c>
      <c r="C21" s="5">
        <v>23</v>
      </c>
      <c r="D21" s="5">
        <v>23</v>
      </c>
      <c r="E21" s="5">
        <v>12</v>
      </c>
      <c r="F21" s="5">
        <v>23</v>
      </c>
      <c r="G21" s="5">
        <v>18</v>
      </c>
      <c r="H21" s="5">
        <v>12</v>
      </c>
      <c r="I21" s="5">
        <v>0</v>
      </c>
      <c r="J21" s="5">
        <v>5</v>
      </c>
      <c r="K21" s="5">
        <v>0</v>
      </c>
      <c r="L21" s="5">
        <v>5</v>
      </c>
      <c r="M21" s="5">
        <v>91</v>
      </c>
    </row>
    <row r="22" spans="1:13" ht="15.75" customHeight="1" x14ac:dyDescent="0.3">
      <c r="A22" s="5" t="s">
        <v>195</v>
      </c>
      <c r="B22" s="5" t="s">
        <v>293</v>
      </c>
      <c r="C22" s="5">
        <v>9</v>
      </c>
      <c r="D22" s="5">
        <v>8</v>
      </c>
      <c r="E22" s="5">
        <v>5</v>
      </c>
      <c r="F22" s="5">
        <v>8</v>
      </c>
      <c r="G22" s="5">
        <v>7</v>
      </c>
      <c r="H22" s="5">
        <v>5</v>
      </c>
      <c r="I22" s="5">
        <v>1</v>
      </c>
      <c r="J22" s="5">
        <v>1</v>
      </c>
      <c r="K22" s="5">
        <v>0</v>
      </c>
      <c r="L22" s="5">
        <v>2</v>
      </c>
      <c r="M22" s="5">
        <v>91</v>
      </c>
    </row>
    <row r="23" spans="1:13" ht="15.75" customHeight="1" x14ac:dyDescent="0.3">
      <c r="A23" s="5" t="s">
        <v>195</v>
      </c>
      <c r="B23" s="5" t="s">
        <v>299</v>
      </c>
      <c r="C23" s="5">
        <v>8</v>
      </c>
      <c r="D23" s="5">
        <v>1</v>
      </c>
      <c r="E23" s="5">
        <v>0</v>
      </c>
      <c r="F23" s="5">
        <v>7</v>
      </c>
      <c r="G23" s="5">
        <v>1</v>
      </c>
      <c r="H23" s="5">
        <v>0</v>
      </c>
      <c r="I23" s="5">
        <v>1</v>
      </c>
      <c r="J23" s="5">
        <v>0</v>
      </c>
      <c r="K23" s="5">
        <v>0</v>
      </c>
      <c r="L23" s="5">
        <v>1</v>
      </c>
      <c r="M23" s="5">
        <v>89</v>
      </c>
    </row>
    <row r="24" spans="1:13" ht="15.75" customHeight="1" x14ac:dyDescent="0.3">
      <c r="A24" s="5" t="s">
        <v>213</v>
      </c>
      <c r="B24" s="5" t="s">
        <v>303</v>
      </c>
      <c r="C24" s="5">
        <v>12</v>
      </c>
      <c r="D24" s="5">
        <v>9</v>
      </c>
      <c r="E24" s="5">
        <v>5</v>
      </c>
      <c r="F24" s="5">
        <v>10</v>
      </c>
      <c r="G24" s="5">
        <v>8</v>
      </c>
      <c r="H24" s="5">
        <v>5</v>
      </c>
      <c r="I24" s="5">
        <v>2</v>
      </c>
      <c r="J24" s="5">
        <v>1</v>
      </c>
      <c r="K24" s="5">
        <v>0</v>
      </c>
      <c r="L24" s="5">
        <v>3</v>
      </c>
      <c r="M24" s="5">
        <v>88</v>
      </c>
    </row>
    <row r="25" spans="1:13" ht="15.75" customHeight="1" x14ac:dyDescent="0.3">
      <c r="A25" s="5" t="s">
        <v>195</v>
      </c>
      <c r="B25" s="5" t="s">
        <v>306</v>
      </c>
      <c r="C25" s="5">
        <v>9</v>
      </c>
      <c r="D25" s="5">
        <v>8</v>
      </c>
      <c r="E25" s="5">
        <v>0</v>
      </c>
      <c r="F25" s="5">
        <v>8</v>
      </c>
      <c r="G25" s="5">
        <v>7</v>
      </c>
      <c r="H25" s="5">
        <v>0</v>
      </c>
      <c r="I25" s="5">
        <v>1</v>
      </c>
      <c r="J25" s="5">
        <v>1</v>
      </c>
      <c r="K25" s="5">
        <v>0</v>
      </c>
      <c r="L25" s="5">
        <v>2</v>
      </c>
      <c r="M25" s="5">
        <v>88</v>
      </c>
    </row>
    <row r="26" spans="1:13" ht="15.75" customHeight="1" x14ac:dyDescent="0.3">
      <c r="A26" s="5" t="s">
        <v>213</v>
      </c>
      <c r="B26" s="5" t="s">
        <v>308</v>
      </c>
      <c r="C26" s="5">
        <v>8</v>
      </c>
      <c r="D26" s="5">
        <v>7</v>
      </c>
      <c r="E26" s="5">
        <v>0</v>
      </c>
      <c r="F26" s="5">
        <v>7</v>
      </c>
      <c r="G26" s="5">
        <v>6</v>
      </c>
      <c r="H26" s="5">
        <v>0</v>
      </c>
      <c r="I26" s="5">
        <v>1</v>
      </c>
      <c r="J26" s="5">
        <v>1</v>
      </c>
      <c r="K26" s="5">
        <v>0</v>
      </c>
      <c r="L26" s="5">
        <v>2</v>
      </c>
      <c r="M26" s="5">
        <v>87</v>
      </c>
    </row>
    <row r="27" spans="1:13" ht="15.75" customHeight="1" x14ac:dyDescent="0.3">
      <c r="A27" s="5" t="s">
        <v>213</v>
      </c>
      <c r="B27" s="5" t="s">
        <v>311</v>
      </c>
      <c r="C27" s="5">
        <v>11</v>
      </c>
      <c r="D27" s="5">
        <v>9</v>
      </c>
      <c r="E27" s="5">
        <v>5</v>
      </c>
      <c r="F27" s="5">
        <v>7</v>
      </c>
      <c r="G27" s="5">
        <v>9</v>
      </c>
      <c r="H27" s="5">
        <v>5</v>
      </c>
      <c r="I27" s="5">
        <v>4</v>
      </c>
      <c r="J27" s="5">
        <v>0</v>
      </c>
      <c r="K27" s="5">
        <v>0</v>
      </c>
      <c r="L27" s="5">
        <v>4</v>
      </c>
      <c r="M27" s="5">
        <v>84</v>
      </c>
    </row>
    <row r="28" spans="1:13" ht="15.75" customHeight="1" x14ac:dyDescent="0.3">
      <c r="A28" s="5" t="s">
        <v>195</v>
      </c>
      <c r="B28" s="5" t="s">
        <v>314</v>
      </c>
      <c r="C28" s="5">
        <v>2</v>
      </c>
      <c r="D28" s="5">
        <v>3</v>
      </c>
      <c r="E28" s="5">
        <v>1</v>
      </c>
      <c r="F28" s="5">
        <v>2</v>
      </c>
      <c r="G28" s="5">
        <v>2</v>
      </c>
      <c r="H28" s="5">
        <v>1</v>
      </c>
      <c r="I28" s="5">
        <v>0</v>
      </c>
      <c r="J28" s="5">
        <v>1</v>
      </c>
      <c r="K28" s="5">
        <v>0</v>
      </c>
      <c r="L28" s="5">
        <v>1</v>
      </c>
      <c r="M28" s="5">
        <v>83</v>
      </c>
    </row>
    <row r="29" spans="1:13" ht="15.75" customHeight="1" x14ac:dyDescent="0.3">
      <c r="A29" s="5" t="s">
        <v>195</v>
      </c>
      <c r="B29" s="5" t="s">
        <v>317</v>
      </c>
      <c r="C29" s="5">
        <v>4</v>
      </c>
      <c r="D29" s="5">
        <v>4</v>
      </c>
      <c r="E29" s="5">
        <v>0</v>
      </c>
      <c r="F29" s="5">
        <v>3</v>
      </c>
      <c r="G29" s="5">
        <v>3</v>
      </c>
      <c r="H29" s="5">
        <v>0</v>
      </c>
      <c r="I29" s="5">
        <v>1</v>
      </c>
      <c r="J29" s="5">
        <v>1</v>
      </c>
      <c r="K29" s="5">
        <v>0</v>
      </c>
      <c r="L29" s="5">
        <v>2</v>
      </c>
      <c r="M29" s="5">
        <v>75</v>
      </c>
    </row>
    <row r="30" spans="1:13" ht="15.75" customHeight="1" x14ac:dyDescent="0.3"/>
    <row r="31" spans="1:13" ht="15.75" customHeight="1" x14ac:dyDescent="0.3"/>
    <row r="32" spans="1: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DB04CE68-BB5A-4CAC-A2A5-2424DEC1B9A6}" filter="1" showAutoFilter="1">
      <pageMargins left="0.7" right="0.7" top="0.75" bottom="0.75" header="0.3" footer="0.3"/>
      <autoFilter ref="A1:M29" xr:uid="{880E8B93-4373-499C-B311-E054B421514D}"/>
      <extLst>
        <ext uri="GoogleSheetsCustomDataVersion1">
          <go:sheetsCustomData xmlns:go="http://customooxmlschemas.google.com/" filterViewId="2012714842"/>
        </ext>
      </extLst>
    </customSheetView>
  </customSheetViews>
  <pageMargins left="0.75" right="0.75" top="1" bottom="1" header="0" footer="0"/>
  <pageSetup fitToHeight="0"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34" customWidth="1"/>
    <col min="2" max="2" width="16" customWidth="1"/>
    <col min="3" max="3" width="18" customWidth="1"/>
    <col min="4" max="26" width="8.6640625" customWidth="1"/>
  </cols>
  <sheetData>
    <row r="1" spans="1:3" ht="30" customHeight="1" x14ac:dyDescent="0.3">
      <c r="A1" s="4" t="s">
        <v>164</v>
      </c>
      <c r="B1" s="4" t="s">
        <v>166</v>
      </c>
      <c r="C1" s="4" t="s">
        <v>168</v>
      </c>
    </row>
    <row r="2" spans="1:3" ht="14.4" x14ac:dyDescent="0.3">
      <c r="A2" s="5" t="s">
        <v>170</v>
      </c>
      <c r="B2" s="5" t="s">
        <v>174</v>
      </c>
      <c r="C2" s="7">
        <v>45862</v>
      </c>
    </row>
    <row r="3" spans="1:3" ht="14.4" x14ac:dyDescent="0.3">
      <c r="A3" s="5" t="s">
        <v>170</v>
      </c>
      <c r="B3" s="5" t="s">
        <v>179</v>
      </c>
      <c r="C3" s="7">
        <v>37330</v>
      </c>
    </row>
    <row r="4" spans="1:3" ht="14.4" x14ac:dyDescent="0.3">
      <c r="A4" s="5" t="s">
        <v>170</v>
      </c>
      <c r="B4" s="5" t="s">
        <v>184</v>
      </c>
      <c r="C4" s="7">
        <v>33645</v>
      </c>
    </row>
    <row r="5" spans="1:3" ht="14.4" x14ac:dyDescent="0.3">
      <c r="A5" s="5" t="s">
        <v>170</v>
      </c>
      <c r="B5" s="5" t="s">
        <v>187</v>
      </c>
      <c r="C5" s="7">
        <v>33266</v>
      </c>
    </row>
    <row r="6" spans="1:3" ht="14.4" x14ac:dyDescent="0.3">
      <c r="A6" s="5" t="s">
        <v>170</v>
      </c>
      <c r="B6" s="5" t="s">
        <v>190</v>
      </c>
      <c r="C6" s="7">
        <v>57771</v>
      </c>
    </row>
    <row r="7" spans="1:3" ht="14.4" x14ac:dyDescent="0.3">
      <c r="A7" s="5" t="s">
        <v>193</v>
      </c>
      <c r="B7" s="5" t="s">
        <v>174</v>
      </c>
      <c r="C7" s="7">
        <v>2507</v>
      </c>
    </row>
    <row r="8" spans="1:3" ht="14.4" x14ac:dyDescent="0.3">
      <c r="A8" s="5" t="s">
        <v>193</v>
      </c>
      <c r="B8" s="5" t="s">
        <v>179</v>
      </c>
      <c r="C8" s="7">
        <v>3902</v>
      </c>
    </row>
    <row r="9" spans="1:3" ht="14.4" x14ac:dyDescent="0.3">
      <c r="A9" s="5" t="s">
        <v>193</v>
      </c>
      <c r="B9" s="5" t="s">
        <v>184</v>
      </c>
      <c r="C9" s="7">
        <v>493</v>
      </c>
    </row>
    <row r="10" spans="1:3" ht="14.4" x14ac:dyDescent="0.3">
      <c r="A10" s="5" t="s">
        <v>193</v>
      </c>
      <c r="B10" s="5" t="s">
        <v>187</v>
      </c>
      <c r="C10" s="7">
        <v>583</v>
      </c>
    </row>
    <row r="11" spans="1:3" ht="14.4" x14ac:dyDescent="0.3">
      <c r="A11" s="5" t="s">
        <v>193</v>
      </c>
      <c r="B11" s="5" t="s">
        <v>190</v>
      </c>
      <c r="C11" s="7">
        <v>7080</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D69A9EAA-5EC2-4B0A-9936-CF55830A89E8}" filter="1" showAutoFilter="1">
      <pageMargins left="0.7" right="0.7" top="0.75" bottom="0.75" header="0.3" footer="0.3"/>
      <autoFilter ref="A1:C11" xr:uid="{4F1665DC-118D-449E-966A-508C7C7BD8D0}"/>
      <extLst>
        <ext uri="GoogleSheetsCustomDataVersion1">
          <go:sheetsCustomData xmlns:go="http://customooxmlschemas.google.com/" filterViewId="1425310558"/>
        </ext>
      </extLst>
    </customSheetView>
  </customSheetViews>
  <pageMargins left="0.75" right="0.75" top="1" bottom="1" header="0" footer="0"/>
  <pageSetup fitToHeight="0"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34" customWidth="1"/>
    <col min="2" max="3" width="22" customWidth="1"/>
    <col min="4" max="4" width="20" customWidth="1"/>
    <col min="5" max="6" width="14" customWidth="1"/>
    <col min="7" max="26" width="8.6640625" customWidth="1"/>
  </cols>
  <sheetData>
    <row r="1" spans="1:6" ht="30" customHeight="1" x14ac:dyDescent="0.3">
      <c r="A1" s="4" t="s">
        <v>173</v>
      </c>
      <c r="B1" s="4" t="s">
        <v>225</v>
      </c>
      <c r="C1" s="4" t="s">
        <v>227</v>
      </c>
      <c r="D1" s="4" t="s">
        <v>228</v>
      </c>
      <c r="E1" s="4" t="s">
        <v>229</v>
      </c>
      <c r="F1" s="4" t="s">
        <v>231</v>
      </c>
    </row>
    <row r="2" spans="1:6" ht="14.4" x14ac:dyDescent="0.3">
      <c r="A2" s="5" t="s">
        <v>232</v>
      </c>
      <c r="B2" s="5">
        <v>1.86</v>
      </c>
      <c r="C2" s="5">
        <v>2.95</v>
      </c>
      <c r="D2" s="5">
        <v>4.9000000000000004</v>
      </c>
      <c r="E2" s="5">
        <v>4.7</v>
      </c>
      <c r="F2" s="5">
        <v>0</v>
      </c>
    </row>
    <row r="3" spans="1:6" ht="14.4" x14ac:dyDescent="0.3">
      <c r="A3" s="5" t="s">
        <v>235</v>
      </c>
      <c r="B3" s="5">
        <v>1.98</v>
      </c>
      <c r="C3" s="5">
        <v>3.4</v>
      </c>
      <c r="D3" s="5">
        <v>5.4</v>
      </c>
      <c r="E3" s="5">
        <v>5</v>
      </c>
      <c r="F3" s="5">
        <v>0</v>
      </c>
    </row>
    <row r="4" spans="1:6" ht="14.4" x14ac:dyDescent="0.3">
      <c r="A4" s="5" t="s">
        <v>240</v>
      </c>
      <c r="B4" s="5">
        <v>2.54</v>
      </c>
      <c r="C4" s="5">
        <v>4.0999999999999996</v>
      </c>
      <c r="D4" s="5">
        <v>6.6</v>
      </c>
      <c r="E4" s="5">
        <v>4.8</v>
      </c>
      <c r="F4" s="5">
        <v>0</v>
      </c>
    </row>
    <row r="5" spans="1:6" ht="14.4" x14ac:dyDescent="0.3">
      <c r="A5" s="5" t="s">
        <v>243</v>
      </c>
      <c r="B5" s="5">
        <v>2.17</v>
      </c>
      <c r="C5" s="5">
        <v>4.07</v>
      </c>
      <c r="D5" s="5">
        <v>6.9</v>
      </c>
      <c r="E5" s="5">
        <v>4.8</v>
      </c>
      <c r="F5" s="5">
        <v>0</v>
      </c>
    </row>
    <row r="6" spans="1:6" ht="14.4" x14ac:dyDescent="0.3">
      <c r="A6" s="5" t="s">
        <v>247</v>
      </c>
      <c r="B6" s="5">
        <v>1.94</v>
      </c>
      <c r="C6" s="5">
        <v>4.34</v>
      </c>
      <c r="D6" s="5">
        <v>6.3</v>
      </c>
      <c r="E6" s="5">
        <v>4.8</v>
      </c>
      <c r="F6" s="5">
        <v>1</v>
      </c>
    </row>
    <row r="7" spans="1:6" ht="14.4" x14ac:dyDescent="0.3">
      <c r="A7" s="5" t="s">
        <v>250</v>
      </c>
      <c r="B7" s="5">
        <v>3.14</v>
      </c>
      <c r="C7" s="5">
        <v>3.64</v>
      </c>
      <c r="D7" s="5">
        <v>6.8</v>
      </c>
      <c r="E7" s="5">
        <v>4.8</v>
      </c>
      <c r="F7" s="5">
        <v>1</v>
      </c>
    </row>
    <row r="8" spans="1:6" ht="14.4" x14ac:dyDescent="0.3">
      <c r="A8" s="5" t="s">
        <v>252</v>
      </c>
      <c r="B8" s="5">
        <v>3.22</v>
      </c>
      <c r="C8" s="5">
        <v>4.53</v>
      </c>
      <c r="D8" s="5">
        <v>7.7</v>
      </c>
      <c r="E8" s="5">
        <v>4.5999999999999996</v>
      </c>
      <c r="F8" s="5">
        <v>1</v>
      </c>
    </row>
    <row r="9" spans="1:6" ht="14.4" x14ac:dyDescent="0.3">
      <c r="A9" s="5" t="s">
        <v>261</v>
      </c>
      <c r="B9" s="5">
        <v>2.59</v>
      </c>
      <c r="C9" s="5">
        <v>4.38</v>
      </c>
      <c r="D9" s="5">
        <v>7</v>
      </c>
      <c r="E9" s="5">
        <v>4.8</v>
      </c>
      <c r="F9" s="5">
        <v>0</v>
      </c>
    </row>
    <row r="10" spans="1:6" ht="14.4" x14ac:dyDescent="0.3">
      <c r="A10" s="5" t="s">
        <v>267</v>
      </c>
      <c r="B10" s="5">
        <v>2.8</v>
      </c>
      <c r="C10" s="5">
        <v>4.34</v>
      </c>
      <c r="D10" s="5">
        <v>7.1</v>
      </c>
      <c r="F10" s="5">
        <v>0</v>
      </c>
    </row>
    <row r="11" spans="1:6" ht="14.4" x14ac:dyDescent="0.3">
      <c r="A11" s="5" t="s">
        <v>274</v>
      </c>
      <c r="B11" s="5">
        <v>1.7</v>
      </c>
      <c r="C11" s="5">
        <v>5.81</v>
      </c>
      <c r="D11" s="5">
        <v>7.4</v>
      </c>
      <c r="E11" s="5">
        <v>4.8</v>
      </c>
      <c r="F11" s="5">
        <v>0</v>
      </c>
    </row>
    <row r="12" spans="1:6" ht="14.4" x14ac:dyDescent="0.3">
      <c r="A12" s="5" t="s">
        <v>277</v>
      </c>
      <c r="B12" s="5">
        <v>4.16</v>
      </c>
      <c r="C12" s="5">
        <v>3.54</v>
      </c>
      <c r="D12" s="5">
        <v>7.7</v>
      </c>
      <c r="E12" s="5">
        <v>4.5999999999999996</v>
      </c>
      <c r="F12" s="5">
        <v>0</v>
      </c>
    </row>
    <row r="13" spans="1:6" ht="14.4" x14ac:dyDescent="0.3">
      <c r="A13" s="5" t="s">
        <v>279</v>
      </c>
      <c r="B13" s="5">
        <v>4.1500000000000004</v>
      </c>
      <c r="C13" s="5">
        <v>3.48</v>
      </c>
      <c r="D13" s="5">
        <v>7.7</v>
      </c>
      <c r="E13" s="5">
        <v>4.4000000000000004</v>
      </c>
      <c r="F13" s="5">
        <v>0</v>
      </c>
    </row>
    <row r="14" spans="1:6" ht="14.4" x14ac:dyDescent="0.3">
      <c r="A14" s="5" t="s">
        <v>280</v>
      </c>
      <c r="B14" s="5">
        <v>5.53</v>
      </c>
      <c r="C14" s="5">
        <v>2.79</v>
      </c>
      <c r="D14" s="5">
        <v>8.1999999999999993</v>
      </c>
      <c r="E14" s="5">
        <v>3.2</v>
      </c>
      <c r="F14" s="5">
        <v>0</v>
      </c>
    </row>
    <row r="15" spans="1:6" ht="14.4" x14ac:dyDescent="0.3">
      <c r="A15" s="5" t="s">
        <v>282</v>
      </c>
      <c r="B15" s="5">
        <v>4.13</v>
      </c>
      <c r="C15" s="5">
        <v>4.17</v>
      </c>
      <c r="D15" s="5">
        <v>8.3000000000000007</v>
      </c>
      <c r="E15" s="5">
        <v>3.8</v>
      </c>
      <c r="F15" s="5">
        <v>0</v>
      </c>
    </row>
    <row r="16" spans="1:6" ht="14.4" x14ac:dyDescent="0.3">
      <c r="A16" s="5" t="s">
        <v>283</v>
      </c>
      <c r="B16" s="5">
        <v>1.94</v>
      </c>
      <c r="C16" s="5">
        <v>2.63</v>
      </c>
      <c r="D16" s="5">
        <v>4.5999999999999996</v>
      </c>
      <c r="E16" s="5">
        <v>3.4</v>
      </c>
      <c r="F16" s="5">
        <v>1</v>
      </c>
    </row>
    <row r="17" spans="1:6" ht="14.4" x14ac:dyDescent="0.3">
      <c r="A17" s="5" t="s">
        <v>285</v>
      </c>
      <c r="B17" s="5">
        <v>2.27</v>
      </c>
      <c r="C17" s="5">
        <v>3.76</v>
      </c>
      <c r="D17" s="5">
        <v>6</v>
      </c>
      <c r="E17" s="5">
        <v>4.4000000000000004</v>
      </c>
      <c r="F17" s="5">
        <v>1</v>
      </c>
    </row>
    <row r="18" spans="1:6" ht="14.4" x14ac:dyDescent="0.3">
      <c r="A18" s="5" t="s">
        <v>286</v>
      </c>
      <c r="B18" s="5">
        <v>4.3099999999999996</v>
      </c>
      <c r="C18" s="5">
        <v>4.0599999999999996</v>
      </c>
      <c r="D18" s="5">
        <v>8.4</v>
      </c>
      <c r="F18" s="5">
        <v>1</v>
      </c>
    </row>
    <row r="19" spans="1:6" ht="14.4" x14ac:dyDescent="0.3">
      <c r="A19" s="5" t="s">
        <v>288</v>
      </c>
      <c r="B19" s="5">
        <v>7.85</v>
      </c>
      <c r="C19" s="5">
        <v>6.7</v>
      </c>
      <c r="D19" s="5">
        <v>14.5</v>
      </c>
      <c r="E19" s="5">
        <v>3.4</v>
      </c>
      <c r="F19" s="5">
        <v>1</v>
      </c>
    </row>
    <row r="20" spans="1:6" ht="14.4" x14ac:dyDescent="0.3">
      <c r="A20" s="5" t="s">
        <v>289</v>
      </c>
      <c r="B20" s="5">
        <v>7.01</v>
      </c>
      <c r="C20" s="5">
        <v>2.19</v>
      </c>
      <c r="D20" s="5">
        <v>9.3000000000000007</v>
      </c>
      <c r="E20" s="5">
        <v>4.8</v>
      </c>
      <c r="F20" s="5">
        <v>0</v>
      </c>
    </row>
    <row r="21" spans="1:6" ht="15.75" customHeight="1" x14ac:dyDescent="0.3">
      <c r="A21" s="5" t="s">
        <v>291</v>
      </c>
      <c r="B21" s="5">
        <v>3.67</v>
      </c>
      <c r="C21" s="5">
        <v>6.13</v>
      </c>
      <c r="D21" s="5">
        <v>9.8000000000000007</v>
      </c>
      <c r="E21" s="5">
        <v>5</v>
      </c>
      <c r="F21" s="5">
        <v>0</v>
      </c>
    </row>
    <row r="22" spans="1:6" ht="15.75" customHeight="1" x14ac:dyDescent="0.3">
      <c r="A22" s="5" t="s">
        <v>292</v>
      </c>
      <c r="B22" s="5">
        <v>9.0299999999999994</v>
      </c>
      <c r="C22" s="5">
        <v>7.46</v>
      </c>
      <c r="D22" s="5">
        <v>16.600000000000001</v>
      </c>
      <c r="E22" s="5">
        <v>4.2</v>
      </c>
      <c r="F22" s="5">
        <v>0</v>
      </c>
    </row>
    <row r="23" spans="1:6" ht="15.75" customHeight="1" x14ac:dyDescent="0.3">
      <c r="A23" s="5" t="s">
        <v>294</v>
      </c>
      <c r="B23" s="5">
        <v>10.28</v>
      </c>
      <c r="C23" s="5">
        <v>7.28</v>
      </c>
      <c r="D23" s="5">
        <v>17.5</v>
      </c>
      <c r="E23" s="5">
        <v>4.4000000000000004</v>
      </c>
      <c r="F23" s="5">
        <v>0</v>
      </c>
    </row>
    <row r="24" spans="1:6" ht="15.75" customHeight="1" x14ac:dyDescent="0.3"/>
    <row r="25" spans="1:6" ht="15.75" customHeight="1" x14ac:dyDescent="0.3"/>
    <row r="26" spans="1:6" ht="15.75" customHeight="1" x14ac:dyDescent="0.3"/>
    <row r="27" spans="1:6" ht="15.75" customHeight="1" x14ac:dyDescent="0.3"/>
    <row r="28" spans="1:6" ht="15.75" customHeight="1" x14ac:dyDescent="0.3"/>
    <row r="29" spans="1:6" ht="15.75" customHeight="1" x14ac:dyDescent="0.3"/>
    <row r="30" spans="1:6" ht="15.75" customHeight="1" x14ac:dyDescent="0.3"/>
    <row r="31" spans="1:6" ht="15.75" customHeight="1" x14ac:dyDescent="0.3"/>
    <row r="32" spans="1:6"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BDC7FA79-B80D-4FFF-9C40-BAF9A58A5140}" filter="1" showAutoFilter="1">
      <pageMargins left="0.7" right="0.7" top="0.75" bottom="0.75" header="0.3" footer="0.3"/>
      <autoFilter ref="A1:F23" xr:uid="{C1A311B4-8A73-4A90-89AB-3BE09859D691}"/>
      <extLst>
        <ext uri="GoogleSheetsCustomDataVersion1">
          <go:sheetsCustomData xmlns:go="http://customooxmlschemas.google.com/" filterViewId="1018649630"/>
        </ext>
      </extLst>
    </customSheetView>
  </customSheetViews>
  <pageMargins left="0.75" right="0.75" top="1" bottom="1" header="0" footer="0"/>
  <pageSetup fitToHeight="0"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1000"/>
  <sheetViews>
    <sheetView showGridLines="0" workbookViewId="0">
      <pane ySplit="1" topLeftCell="A2" activePane="bottomLeft" state="frozen"/>
      <selection pane="bottomLeft" activeCell="D5" sqref="D5"/>
    </sheetView>
  </sheetViews>
  <sheetFormatPr baseColWidth="10" defaultColWidth="14.44140625" defaultRowHeight="15" customHeight="1" x14ac:dyDescent="0.3"/>
  <cols>
    <col min="1" max="1" width="36" customWidth="1"/>
    <col min="2" max="2" width="18" customWidth="1"/>
    <col min="3" max="26" width="8.6640625" customWidth="1"/>
  </cols>
  <sheetData>
    <row r="1" spans="1:2" ht="30" customHeight="1" x14ac:dyDescent="0.3">
      <c r="A1" s="4" t="s">
        <v>237</v>
      </c>
      <c r="B1" s="4" t="s">
        <v>239</v>
      </c>
    </row>
    <row r="2" spans="1:2" ht="14.4" x14ac:dyDescent="0.3">
      <c r="A2" s="5" t="s">
        <v>241</v>
      </c>
      <c r="B2" s="5">
        <v>29</v>
      </c>
    </row>
    <row r="3" spans="1:2" ht="14.4" x14ac:dyDescent="0.3">
      <c r="A3" s="5" t="s">
        <v>242</v>
      </c>
      <c r="B3" s="5">
        <v>28</v>
      </c>
    </row>
    <row r="4" spans="1:2" ht="14.4" x14ac:dyDescent="0.3">
      <c r="A4" s="5" t="s">
        <v>244</v>
      </c>
      <c r="B4" s="5">
        <v>13</v>
      </c>
    </row>
    <row r="5" spans="1:2" ht="14.4" x14ac:dyDescent="0.3">
      <c r="A5" s="5" t="s">
        <v>245</v>
      </c>
      <c r="B5" s="5">
        <v>13</v>
      </c>
    </row>
    <row r="6" spans="1:2" ht="14.4" x14ac:dyDescent="0.3">
      <c r="A6" s="5" t="s">
        <v>248</v>
      </c>
      <c r="B6" s="5">
        <v>17</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6BE96C5C-7502-41E1-8E99-B3DBB7E7BE2B}" filter="1" showAutoFilter="1">
      <pageMargins left="0.7" right="0.7" top="0.75" bottom="0.75" header="0.3" footer="0.3"/>
      <autoFilter ref="A1:B6" xr:uid="{BD38F2B6-945D-4FFC-8EA1-792F6F898BC7}"/>
      <extLst>
        <ext uri="GoogleSheetsCustomDataVersion1">
          <go:sheetsCustomData xmlns:go="http://customooxmlschemas.google.com/" filterViewId="2116613012"/>
        </ext>
      </extLst>
    </customSheetView>
  </customSheetViews>
  <pageMargins left="0.75" right="0.75" top="1" bottom="1" header="0" footer="0"/>
  <pageSetup fitToHeight="0"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1000"/>
  <sheetViews>
    <sheetView showGridLines="0" workbookViewId="0">
      <pane ySplit="1" topLeftCell="A8" activePane="bottomLeft" state="frozen"/>
      <selection pane="bottomLeft" activeCell="I13" sqref="I13"/>
    </sheetView>
  </sheetViews>
  <sheetFormatPr baseColWidth="10" defaultColWidth="14.44140625" defaultRowHeight="15" customHeight="1" x14ac:dyDescent="0.3"/>
  <cols>
    <col min="1" max="1" width="42" customWidth="1"/>
    <col min="2" max="2" width="22" customWidth="1"/>
    <col min="3" max="3" width="18" customWidth="1"/>
    <col min="4" max="5" width="16" customWidth="1"/>
    <col min="6" max="6" width="18" customWidth="1"/>
    <col min="7" max="7" width="14" customWidth="1"/>
    <col min="8" max="26" width="8.6640625" customWidth="1"/>
  </cols>
  <sheetData>
    <row r="1" spans="1:7" ht="30" customHeight="1" x14ac:dyDescent="0.3">
      <c r="A1" s="4" t="s">
        <v>295</v>
      </c>
      <c r="B1" s="4" t="s">
        <v>296</v>
      </c>
      <c r="C1" s="4" t="s">
        <v>297</v>
      </c>
      <c r="D1" s="4" t="s">
        <v>298</v>
      </c>
      <c r="E1" s="4" t="s">
        <v>300</v>
      </c>
      <c r="F1" s="4" t="s">
        <v>301</v>
      </c>
      <c r="G1" s="4" t="s">
        <v>231</v>
      </c>
    </row>
    <row r="2" spans="1:7" ht="14.4" x14ac:dyDescent="0.3">
      <c r="A2" s="5" t="s">
        <v>302</v>
      </c>
      <c r="B2" s="5">
        <v>20</v>
      </c>
      <c r="C2" s="5">
        <v>16</v>
      </c>
      <c r="D2" s="5">
        <v>2464</v>
      </c>
      <c r="E2" s="5">
        <v>2753</v>
      </c>
      <c r="F2" s="5">
        <v>95</v>
      </c>
      <c r="G2" s="5">
        <v>0</v>
      </c>
    </row>
    <row r="3" spans="1:7" ht="14.4" x14ac:dyDescent="0.3">
      <c r="A3" s="5" t="s">
        <v>304</v>
      </c>
      <c r="B3" s="5">
        <v>22</v>
      </c>
      <c r="C3" s="5">
        <v>12</v>
      </c>
      <c r="D3" s="5">
        <v>4638</v>
      </c>
      <c r="E3" s="5">
        <v>6058</v>
      </c>
      <c r="F3" s="5">
        <v>94</v>
      </c>
      <c r="G3" s="5">
        <v>0</v>
      </c>
    </row>
    <row r="4" spans="1:7" ht="14.4" x14ac:dyDescent="0.3">
      <c r="A4" s="5" t="s">
        <v>305</v>
      </c>
      <c r="B4" s="5">
        <v>24</v>
      </c>
      <c r="C4" s="5">
        <v>9</v>
      </c>
      <c r="D4" s="5">
        <v>5057</v>
      </c>
      <c r="E4" s="5">
        <v>6152</v>
      </c>
      <c r="F4" s="5">
        <v>92</v>
      </c>
      <c r="G4" s="5">
        <v>0</v>
      </c>
    </row>
    <row r="5" spans="1:7" ht="14.4" x14ac:dyDescent="0.3">
      <c r="A5" s="5" t="s">
        <v>307</v>
      </c>
      <c r="B5" s="5">
        <v>16</v>
      </c>
      <c r="C5" s="5">
        <v>7</v>
      </c>
      <c r="D5" s="5">
        <v>5026</v>
      </c>
      <c r="E5" s="5">
        <v>4575</v>
      </c>
      <c r="F5" s="5">
        <v>89</v>
      </c>
      <c r="G5" s="5">
        <v>0</v>
      </c>
    </row>
    <row r="6" spans="1:7" ht="14.4" x14ac:dyDescent="0.3">
      <c r="A6" s="5" t="s">
        <v>309</v>
      </c>
      <c r="B6" s="5">
        <v>53</v>
      </c>
      <c r="C6" s="5">
        <v>16</v>
      </c>
      <c r="D6" s="5">
        <v>10504</v>
      </c>
      <c r="E6" s="5">
        <v>11064</v>
      </c>
      <c r="F6" s="5">
        <v>83</v>
      </c>
      <c r="G6" s="5">
        <v>0</v>
      </c>
    </row>
    <row r="7" spans="1:7" ht="14.4" x14ac:dyDescent="0.3">
      <c r="A7" s="5" t="s">
        <v>310</v>
      </c>
      <c r="B7" s="5">
        <v>90</v>
      </c>
      <c r="C7" s="5">
        <v>33</v>
      </c>
      <c r="D7" s="5">
        <v>14434</v>
      </c>
      <c r="E7" s="5">
        <v>15220</v>
      </c>
      <c r="F7" s="5">
        <v>82</v>
      </c>
      <c r="G7" s="5">
        <v>0</v>
      </c>
    </row>
    <row r="8" spans="1:7" ht="14.4" x14ac:dyDescent="0.3">
      <c r="A8" s="5" t="s">
        <v>312</v>
      </c>
      <c r="B8" s="5">
        <v>19</v>
      </c>
      <c r="C8" s="5">
        <v>7</v>
      </c>
      <c r="D8" s="5">
        <v>5418</v>
      </c>
      <c r="E8" s="5">
        <v>5287</v>
      </c>
      <c r="F8" s="5">
        <v>97</v>
      </c>
      <c r="G8" s="5">
        <v>1</v>
      </c>
    </row>
    <row r="9" spans="1:7" ht="14.4" x14ac:dyDescent="0.3">
      <c r="A9" s="5" t="s">
        <v>313</v>
      </c>
      <c r="B9" s="5">
        <v>36</v>
      </c>
      <c r="C9" s="5">
        <v>9</v>
      </c>
      <c r="D9" s="5">
        <v>1930</v>
      </c>
      <c r="E9" s="5">
        <v>1884</v>
      </c>
      <c r="F9" s="5">
        <v>84</v>
      </c>
      <c r="G9" s="5">
        <v>1</v>
      </c>
    </row>
    <row r="10" spans="1:7" ht="14.4" x14ac:dyDescent="0.3">
      <c r="A10" s="5" t="s">
        <v>315</v>
      </c>
      <c r="B10" s="5">
        <v>13</v>
      </c>
      <c r="C10" s="5">
        <v>7</v>
      </c>
      <c r="D10" s="5">
        <v>3812</v>
      </c>
      <c r="E10" s="5">
        <v>3147</v>
      </c>
      <c r="F10" s="5">
        <v>82</v>
      </c>
      <c r="G10" s="5">
        <v>1</v>
      </c>
    </row>
    <row r="11" spans="1:7" ht="14.4" x14ac:dyDescent="0.3">
      <c r="A11" s="5" t="s">
        <v>316</v>
      </c>
      <c r="B11" s="5">
        <v>22</v>
      </c>
      <c r="C11" s="5">
        <v>12</v>
      </c>
      <c r="D11" s="5">
        <v>3274</v>
      </c>
      <c r="E11" s="5">
        <v>4902</v>
      </c>
      <c r="F11" s="5">
        <v>59</v>
      </c>
      <c r="G11" s="5">
        <v>1</v>
      </c>
    </row>
    <row r="12" spans="1:7" ht="14.4" x14ac:dyDescent="0.3">
      <c r="A12" s="5" t="s">
        <v>318</v>
      </c>
      <c r="B12" s="5">
        <v>65</v>
      </c>
      <c r="C12" s="5">
        <v>23</v>
      </c>
      <c r="D12" s="5">
        <v>14327</v>
      </c>
      <c r="E12" s="5">
        <v>14839</v>
      </c>
      <c r="F12" s="5">
        <v>80</v>
      </c>
      <c r="G12" s="5">
        <v>0</v>
      </c>
    </row>
    <row r="13" spans="1:7" ht="14.4" x14ac:dyDescent="0.3">
      <c r="A13" s="5" t="s">
        <v>319</v>
      </c>
      <c r="B13" s="5">
        <v>22</v>
      </c>
      <c r="C13" s="5">
        <v>9</v>
      </c>
      <c r="D13" s="5">
        <v>4469</v>
      </c>
      <c r="E13" s="5">
        <v>4938</v>
      </c>
      <c r="F13" s="5">
        <v>88</v>
      </c>
      <c r="G13" s="5">
        <v>1</v>
      </c>
    </row>
    <row r="14" spans="1:7" ht="14.4" x14ac:dyDescent="0.3">
      <c r="A14" s="5" t="s">
        <v>320</v>
      </c>
      <c r="B14" s="5">
        <v>32</v>
      </c>
      <c r="C14" s="5">
        <v>6</v>
      </c>
      <c r="D14" s="5">
        <v>6624</v>
      </c>
      <c r="E14" s="5">
        <v>7100</v>
      </c>
      <c r="F14" s="5">
        <v>83</v>
      </c>
      <c r="G14" s="5">
        <v>1</v>
      </c>
    </row>
    <row r="15" spans="1:7" ht="14.4" x14ac:dyDescent="0.3">
      <c r="A15" s="5" t="s">
        <v>321</v>
      </c>
      <c r="B15" s="5">
        <v>11</v>
      </c>
      <c r="C15" s="5">
        <v>10</v>
      </c>
      <c r="D15" s="5">
        <v>3234</v>
      </c>
      <c r="E15" s="5">
        <v>2801</v>
      </c>
      <c r="F15" s="5">
        <v>59</v>
      </c>
      <c r="G15" s="5">
        <v>1</v>
      </c>
    </row>
    <row r="16" spans="1:7" ht="14.4" x14ac:dyDescent="0.3">
      <c r="A16" s="5" t="s">
        <v>322</v>
      </c>
      <c r="B16" s="5">
        <v>17</v>
      </c>
      <c r="C16" s="5">
        <v>13</v>
      </c>
      <c r="D16" s="5">
        <v>4976</v>
      </c>
      <c r="E16" s="5">
        <v>4255</v>
      </c>
      <c r="F16" s="5">
        <v>79</v>
      </c>
      <c r="G16" s="5">
        <v>0</v>
      </c>
    </row>
    <row r="17" spans="1:7" ht="14.4" x14ac:dyDescent="0.3">
      <c r="A17" s="5" t="s">
        <v>325</v>
      </c>
      <c r="B17" s="5">
        <v>42</v>
      </c>
      <c r="C17" s="5">
        <v>6</v>
      </c>
      <c r="D17" s="5">
        <v>9644</v>
      </c>
      <c r="E17" s="5">
        <v>10041</v>
      </c>
      <c r="F17" s="5">
        <v>76</v>
      </c>
      <c r="G17" s="5">
        <v>0</v>
      </c>
    </row>
    <row r="18" spans="1:7" ht="14.4" x14ac:dyDescent="0.3">
      <c r="A18" s="5" t="s">
        <v>332</v>
      </c>
      <c r="B18" s="5">
        <v>27</v>
      </c>
      <c r="C18" s="5">
        <v>6</v>
      </c>
      <c r="D18" s="5">
        <v>10800</v>
      </c>
      <c r="E18" s="5">
        <v>17449</v>
      </c>
      <c r="F18" s="5">
        <v>74</v>
      </c>
      <c r="G18" s="5">
        <v>0</v>
      </c>
    </row>
    <row r="19" spans="1:7" ht="14.4" x14ac:dyDescent="0.3">
      <c r="A19" s="5" t="s">
        <v>338</v>
      </c>
      <c r="B19" s="5">
        <v>38</v>
      </c>
      <c r="C19" s="5">
        <v>17</v>
      </c>
      <c r="D19" s="5">
        <v>4167</v>
      </c>
      <c r="E19" s="5">
        <v>3294</v>
      </c>
      <c r="F19" s="5">
        <v>74</v>
      </c>
      <c r="G19" s="5">
        <v>0</v>
      </c>
    </row>
    <row r="20" spans="1:7" ht="14.4" x14ac:dyDescent="0.3">
      <c r="A20" s="5" t="s">
        <v>347</v>
      </c>
      <c r="B20" s="5">
        <v>21</v>
      </c>
      <c r="C20" s="5">
        <v>8</v>
      </c>
      <c r="D20" s="5">
        <v>6846</v>
      </c>
      <c r="E20" s="5">
        <v>5891</v>
      </c>
      <c r="F20" s="5">
        <v>66</v>
      </c>
      <c r="G20" s="5">
        <v>0</v>
      </c>
    </row>
    <row r="21" spans="1:7" ht="15.75" customHeight="1" x14ac:dyDescent="0.3">
      <c r="A21" s="5" t="s">
        <v>355</v>
      </c>
      <c r="B21" s="5">
        <v>31</v>
      </c>
      <c r="C21" s="5">
        <v>13</v>
      </c>
      <c r="D21" s="5">
        <v>4776</v>
      </c>
      <c r="E21" s="5">
        <v>3236</v>
      </c>
      <c r="F21" s="5">
        <v>63</v>
      </c>
      <c r="G21" s="5">
        <v>0</v>
      </c>
    </row>
    <row r="22" spans="1:7" ht="15.75" customHeight="1" x14ac:dyDescent="0.3">
      <c r="A22" s="5" t="s">
        <v>357</v>
      </c>
      <c r="B22" s="5">
        <v>17</v>
      </c>
      <c r="C22" s="5">
        <v>10</v>
      </c>
      <c r="D22" s="5">
        <v>10472</v>
      </c>
      <c r="E22" s="5">
        <v>7043</v>
      </c>
      <c r="F22" s="5">
        <v>61</v>
      </c>
      <c r="G22" s="5">
        <v>0</v>
      </c>
    </row>
    <row r="23" spans="1:7" ht="15.75" customHeight="1" x14ac:dyDescent="0.3">
      <c r="A23" s="5" t="s">
        <v>358</v>
      </c>
      <c r="B23" s="5">
        <v>66</v>
      </c>
      <c r="C23" s="5">
        <v>6</v>
      </c>
      <c r="D23" s="5">
        <v>12426</v>
      </c>
      <c r="E23" s="5">
        <v>2643</v>
      </c>
      <c r="F23" s="5">
        <v>20</v>
      </c>
      <c r="G23" s="5">
        <v>0</v>
      </c>
    </row>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05E16715-9406-4ADA-BADF-D1C96F4B56F1}" filter="1" showAutoFilter="1">
      <pageMargins left="0.7" right="0.7" top="0.75" bottom="0.75" header="0.3" footer="0.3"/>
      <autoFilter ref="A1:G23" xr:uid="{3D6000C4-6249-40DE-B016-8DA61BB8F3BF}"/>
      <extLst>
        <ext uri="GoogleSheetsCustomDataVersion1">
          <go:sheetsCustomData xmlns:go="http://customooxmlschemas.google.com/" filterViewId="266854083"/>
        </ext>
      </extLst>
    </customSheetView>
  </customSheetViews>
  <pageMargins left="0.75" right="0.75" top="1" bottom="1" header="0" footer="0"/>
  <pageSetup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1000"/>
  <sheetViews>
    <sheetView showGridLines="0" tabSelected="1" workbookViewId="0">
      <pane ySplit="1" topLeftCell="A2" activePane="bottomLeft" state="frozen"/>
      <selection pane="bottomLeft" activeCell="B13" sqref="B13"/>
    </sheetView>
  </sheetViews>
  <sheetFormatPr baseColWidth="10" defaultColWidth="14.44140625" defaultRowHeight="15" customHeight="1" x14ac:dyDescent="0.3"/>
  <cols>
    <col min="1" max="1" width="62" customWidth="1"/>
    <col min="2" max="2" width="16" customWidth="1"/>
    <col min="3" max="3" width="18" customWidth="1"/>
    <col min="4" max="5" width="20" customWidth="1"/>
    <col min="6" max="6" width="22" customWidth="1"/>
    <col min="7" max="7" width="20" customWidth="1"/>
    <col min="8" max="26" width="8.6640625" customWidth="1"/>
  </cols>
  <sheetData>
    <row r="1" spans="1:7" ht="30" customHeight="1" x14ac:dyDescent="0.3">
      <c r="A1" s="4" t="s">
        <v>323</v>
      </c>
      <c r="B1" s="4" t="s">
        <v>324</v>
      </c>
      <c r="C1" s="4" t="s">
        <v>326</v>
      </c>
      <c r="D1" s="4" t="s">
        <v>327</v>
      </c>
      <c r="E1" s="4" t="s">
        <v>328</v>
      </c>
      <c r="F1" s="4" t="s">
        <v>330</v>
      </c>
      <c r="G1" s="4" t="s">
        <v>331</v>
      </c>
    </row>
    <row r="2" spans="1:7" ht="14.4" x14ac:dyDescent="0.3">
      <c r="A2" s="5" t="s">
        <v>334</v>
      </c>
      <c r="B2" s="5" t="s">
        <v>163</v>
      </c>
      <c r="C2" s="5">
        <v>98</v>
      </c>
      <c r="D2" s="5">
        <v>100</v>
      </c>
      <c r="E2" s="8" t="s">
        <v>2176</v>
      </c>
      <c r="F2" s="5" t="s">
        <v>341</v>
      </c>
      <c r="G2" s="5" t="s">
        <v>341</v>
      </c>
    </row>
    <row r="3" spans="1:7" ht="14.4" x14ac:dyDescent="0.3">
      <c r="A3" s="5" t="s">
        <v>345</v>
      </c>
      <c r="B3" s="5" t="s">
        <v>163</v>
      </c>
      <c r="C3" s="5">
        <v>100</v>
      </c>
      <c r="D3" s="5">
        <v>100</v>
      </c>
      <c r="E3" s="8" t="s">
        <v>337</v>
      </c>
      <c r="F3" s="5" t="s">
        <v>341</v>
      </c>
      <c r="G3" s="5" t="s">
        <v>341</v>
      </c>
    </row>
    <row r="4" spans="1:7" ht="14.4" x14ac:dyDescent="0.3">
      <c r="A4" s="5" t="s">
        <v>350</v>
      </c>
      <c r="B4" s="5" t="s">
        <v>163</v>
      </c>
      <c r="C4" s="5">
        <v>100</v>
      </c>
      <c r="D4" s="5">
        <v>90</v>
      </c>
      <c r="E4" s="5" t="s">
        <v>339</v>
      </c>
      <c r="F4" s="5" t="s">
        <v>341</v>
      </c>
      <c r="G4" s="5" t="s">
        <v>341</v>
      </c>
    </row>
    <row r="5" spans="1:7" ht="14.4" x14ac:dyDescent="0.3">
      <c r="A5" s="5" t="s">
        <v>2177</v>
      </c>
      <c r="B5" s="5" t="s">
        <v>163</v>
      </c>
      <c r="C5" s="5">
        <v>99</v>
      </c>
      <c r="D5" s="17">
        <v>100</v>
      </c>
      <c r="E5" s="17" t="s">
        <v>337</v>
      </c>
      <c r="F5" s="5" t="s">
        <v>341</v>
      </c>
      <c r="G5" s="5" t="s">
        <v>341</v>
      </c>
    </row>
    <row r="6" spans="1:7" ht="14.4" x14ac:dyDescent="0.3">
      <c r="A6" s="16" t="s">
        <v>2178</v>
      </c>
      <c r="B6" s="5" t="s">
        <v>163</v>
      </c>
      <c r="C6" s="5">
        <v>98</v>
      </c>
      <c r="D6" s="17">
        <v>100</v>
      </c>
      <c r="E6" s="17" t="s">
        <v>337</v>
      </c>
      <c r="F6" s="5" t="s">
        <v>341</v>
      </c>
      <c r="G6" s="5" t="s">
        <v>341</v>
      </c>
    </row>
    <row r="7" spans="1:7" ht="14.4" x14ac:dyDescent="0.3">
      <c r="A7" s="16" t="s">
        <v>359</v>
      </c>
      <c r="B7" s="5" t="s">
        <v>163</v>
      </c>
      <c r="C7" s="5">
        <v>87</v>
      </c>
      <c r="D7" s="5">
        <v>92.5</v>
      </c>
      <c r="E7" s="5" t="s">
        <v>351</v>
      </c>
      <c r="F7" s="5" t="s">
        <v>341</v>
      </c>
      <c r="G7" s="5" t="s">
        <v>341</v>
      </c>
    </row>
    <row r="8" spans="1:7" ht="14.4" x14ac:dyDescent="0.3">
      <c r="A8" s="16" t="s">
        <v>2179</v>
      </c>
      <c r="B8" s="5" t="s">
        <v>163</v>
      </c>
      <c r="C8" s="5">
        <v>51</v>
      </c>
      <c r="D8" s="5">
        <v>0</v>
      </c>
      <c r="E8" s="5" t="s">
        <v>360</v>
      </c>
      <c r="F8" s="5" t="s">
        <v>341</v>
      </c>
      <c r="G8" s="5" t="s">
        <v>341</v>
      </c>
    </row>
    <row r="9" spans="1:7" ht="14.4" x14ac:dyDescent="0.3">
      <c r="A9" s="5" t="s">
        <v>361</v>
      </c>
      <c r="B9" s="5" t="s">
        <v>163</v>
      </c>
      <c r="C9" s="5">
        <v>15</v>
      </c>
      <c r="D9" s="5">
        <v>0</v>
      </c>
      <c r="E9" s="5" t="s">
        <v>362</v>
      </c>
      <c r="F9" s="5" t="s">
        <v>341</v>
      </c>
      <c r="G9" s="5" t="s">
        <v>341</v>
      </c>
    </row>
    <row r="10" spans="1:7" ht="14.4" x14ac:dyDescent="0.3">
      <c r="A10" s="5" t="s">
        <v>363</v>
      </c>
      <c r="B10" s="5" t="s">
        <v>364</v>
      </c>
      <c r="C10" s="5">
        <v>0</v>
      </c>
      <c r="D10" s="5">
        <v>0</v>
      </c>
      <c r="E10" s="5" t="s">
        <v>365</v>
      </c>
      <c r="F10" s="5" t="s">
        <v>341</v>
      </c>
      <c r="G10" s="5" t="s">
        <v>341</v>
      </c>
    </row>
    <row r="11" spans="1:7" ht="14.4" x14ac:dyDescent="0.3">
      <c r="A11" s="5" t="s">
        <v>366</v>
      </c>
      <c r="B11" s="5" t="s">
        <v>364</v>
      </c>
      <c r="C11" s="5">
        <v>0</v>
      </c>
      <c r="D11" s="5">
        <v>0</v>
      </c>
      <c r="E11" s="5" t="s">
        <v>367</v>
      </c>
      <c r="F11" s="5" t="s">
        <v>341</v>
      </c>
      <c r="G11" s="5" t="s">
        <v>341</v>
      </c>
    </row>
    <row r="12" spans="1:7" ht="14.4" x14ac:dyDescent="0.3">
      <c r="A12" s="5" t="s">
        <v>368</v>
      </c>
      <c r="B12" s="5" t="s">
        <v>364</v>
      </c>
      <c r="C12" s="5">
        <v>0</v>
      </c>
      <c r="D12" s="5">
        <v>0</v>
      </c>
      <c r="E12" s="5" t="s">
        <v>367</v>
      </c>
      <c r="F12" s="5" t="s">
        <v>341</v>
      </c>
      <c r="G12" s="5" t="s">
        <v>341</v>
      </c>
    </row>
    <row r="13" spans="1:7" ht="14.4" x14ac:dyDescent="0.3">
      <c r="A13" s="5" t="s">
        <v>369</v>
      </c>
      <c r="B13" s="5" t="s">
        <v>163</v>
      </c>
      <c r="C13" s="5">
        <v>0</v>
      </c>
      <c r="D13" s="5">
        <v>0</v>
      </c>
      <c r="E13" s="18" t="s">
        <v>2182</v>
      </c>
      <c r="F13" s="5" t="s">
        <v>341</v>
      </c>
      <c r="G13" s="5" t="s">
        <v>341</v>
      </c>
    </row>
    <row r="14" spans="1:7" ht="14.4" x14ac:dyDescent="0.3">
      <c r="A14" s="5" t="s">
        <v>370</v>
      </c>
      <c r="B14" s="5" t="s">
        <v>364</v>
      </c>
      <c r="C14" s="5">
        <v>0</v>
      </c>
      <c r="D14" s="5">
        <v>0</v>
      </c>
      <c r="E14" s="5" t="s">
        <v>367</v>
      </c>
      <c r="F14" s="5" t="s">
        <v>341</v>
      </c>
      <c r="G14" s="5" t="s">
        <v>341</v>
      </c>
    </row>
    <row r="15" spans="1:7" ht="14.4" x14ac:dyDescent="0.3">
      <c r="A15" s="5" t="s">
        <v>371</v>
      </c>
      <c r="B15" s="5" t="s">
        <v>364</v>
      </c>
      <c r="C15" s="5">
        <v>0</v>
      </c>
      <c r="D15" s="5">
        <v>0</v>
      </c>
      <c r="E15" s="5" t="s">
        <v>362</v>
      </c>
      <c r="F15" s="5" t="s">
        <v>341</v>
      </c>
      <c r="G15" s="5" t="s">
        <v>341</v>
      </c>
    </row>
    <row r="16" spans="1:7" ht="14.4" x14ac:dyDescent="0.3">
      <c r="A16" s="5" t="s">
        <v>372</v>
      </c>
      <c r="B16" s="5" t="s">
        <v>364</v>
      </c>
      <c r="C16" s="5">
        <v>0</v>
      </c>
      <c r="D16" s="5">
        <v>0</v>
      </c>
      <c r="E16" s="5" t="s">
        <v>362</v>
      </c>
      <c r="F16" s="5" t="s">
        <v>341</v>
      </c>
      <c r="G16" s="5" t="s">
        <v>341</v>
      </c>
    </row>
    <row r="17" spans="1:7" ht="14.4" x14ac:dyDescent="0.3">
      <c r="A17" s="5" t="s">
        <v>373</v>
      </c>
      <c r="B17" s="5" t="s">
        <v>364</v>
      </c>
      <c r="C17" s="5">
        <v>0</v>
      </c>
      <c r="D17" s="5">
        <v>0</v>
      </c>
      <c r="E17" s="5" t="s">
        <v>362</v>
      </c>
      <c r="F17" s="5" t="s">
        <v>341</v>
      </c>
      <c r="G17" s="5" t="s">
        <v>341</v>
      </c>
    </row>
    <row r="18" spans="1:7" ht="14.4" x14ac:dyDescent="0.3">
      <c r="A18" s="5" t="s">
        <v>376</v>
      </c>
      <c r="B18" s="5" t="s">
        <v>364</v>
      </c>
      <c r="C18" s="5">
        <v>0</v>
      </c>
      <c r="D18" s="5">
        <v>0</v>
      </c>
      <c r="E18" s="5" t="s">
        <v>362</v>
      </c>
      <c r="F18" s="5" t="s">
        <v>341</v>
      </c>
      <c r="G18" s="5" t="s">
        <v>341</v>
      </c>
    </row>
    <row r="19" spans="1:7" ht="14.4" x14ac:dyDescent="0.3">
      <c r="A19" s="5" t="s">
        <v>384</v>
      </c>
      <c r="B19" s="5" t="s">
        <v>364</v>
      </c>
      <c r="C19" s="5">
        <v>0</v>
      </c>
      <c r="D19" s="5">
        <v>0</v>
      </c>
      <c r="E19" s="5" t="s">
        <v>362</v>
      </c>
      <c r="F19" s="5" t="s">
        <v>341</v>
      </c>
      <c r="G19" s="5" t="s">
        <v>341</v>
      </c>
    </row>
    <row r="20" spans="1:7" ht="14.4" x14ac:dyDescent="0.3">
      <c r="A20" s="5" t="s">
        <v>392</v>
      </c>
      <c r="B20" s="5" t="s">
        <v>364</v>
      </c>
      <c r="C20" s="5">
        <v>0</v>
      </c>
      <c r="D20" s="5">
        <v>0</v>
      </c>
      <c r="E20" s="5" t="s">
        <v>362</v>
      </c>
      <c r="F20" s="5" t="s">
        <v>341</v>
      </c>
      <c r="G20" s="5" t="s">
        <v>341</v>
      </c>
    </row>
    <row r="21" spans="1:7" ht="15.75" customHeight="1" x14ac:dyDescent="0.3"/>
    <row r="22" spans="1:7" ht="15.75" customHeight="1" x14ac:dyDescent="0.3"/>
    <row r="23" spans="1:7" ht="15.75" customHeight="1" x14ac:dyDescent="0.3"/>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C6518428-2C27-43C5-89F7-674C4541BF85}" filter="1" showAutoFilter="1">
      <pageMargins left="0.7" right="0.7" top="0.75" bottom="0.75" header="0.3" footer="0.3"/>
      <autoFilter ref="A1:G20" xr:uid="{666CA44B-4716-46E6-9275-E0C4B12264E6}"/>
      <extLst>
        <ext uri="GoogleSheetsCustomDataVersion1">
          <go:sheetsCustomData xmlns:go="http://customooxmlschemas.google.com/" filterViewId="1512831406"/>
        </ext>
      </extLst>
    </customSheetView>
  </customSheetViews>
  <phoneticPr fontId="9" type="noConversion"/>
  <dataValidations count="1">
    <dataValidation type="list" allowBlank="1" sqref="B2:B20" xr:uid="{00000000-0002-0000-0A00-000000000000}">
      <formula1>"En proceso,Pendiente"</formula1>
    </dataValidation>
  </dataValidations>
  <pageMargins left="0.75" right="0.75" top="1" bottom="1" header="0" footer="0"/>
  <pageSetup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1001"/>
  <sheetViews>
    <sheetView showGridLines="0" workbookViewId="0">
      <pane ySplit="1" topLeftCell="A2" activePane="bottomLeft" state="frozen"/>
      <selection pane="bottomLeft" activeCell="G11" sqref="G11"/>
    </sheetView>
  </sheetViews>
  <sheetFormatPr baseColWidth="10" defaultColWidth="14.44140625" defaultRowHeight="15" customHeight="1" x14ac:dyDescent="0.3"/>
  <cols>
    <col min="1" max="1" width="24" customWidth="1"/>
    <col min="2" max="2" width="42" customWidth="1"/>
    <col min="3" max="3" width="18" customWidth="1"/>
    <col min="4" max="4" width="20" customWidth="1"/>
    <col min="5" max="5" width="26" customWidth="1"/>
    <col min="6" max="6" width="20" customWidth="1"/>
    <col min="7" max="7" width="100" customWidth="1"/>
    <col min="8" max="26" width="8.6640625" customWidth="1"/>
  </cols>
  <sheetData>
    <row r="1" spans="1:7" ht="30" customHeight="1" x14ac:dyDescent="0.3">
      <c r="A1" s="4" t="s">
        <v>173</v>
      </c>
      <c r="B1" s="4" t="s">
        <v>26</v>
      </c>
      <c r="C1" s="4" t="s">
        <v>326</v>
      </c>
      <c r="D1" s="4" t="s">
        <v>327</v>
      </c>
      <c r="E1" s="4" t="s">
        <v>329</v>
      </c>
      <c r="F1" s="4" t="s">
        <v>328</v>
      </c>
      <c r="G1" s="4" t="s">
        <v>333</v>
      </c>
    </row>
    <row r="2" spans="1:7" ht="14.4" x14ac:dyDescent="0.3">
      <c r="A2" s="5" t="s">
        <v>335</v>
      </c>
      <c r="B2" s="5" t="s">
        <v>336</v>
      </c>
      <c r="C2" s="5">
        <v>99</v>
      </c>
      <c r="D2" s="5">
        <v>100</v>
      </c>
      <c r="E2" s="5">
        <v>95</v>
      </c>
      <c r="F2" s="5" t="s">
        <v>337</v>
      </c>
      <c r="G2" s="5" t="s">
        <v>340</v>
      </c>
    </row>
    <row r="3" spans="1:7" ht="14.4" x14ac:dyDescent="0.3">
      <c r="A3" s="5" t="s">
        <v>342</v>
      </c>
      <c r="B3" s="5" t="s">
        <v>343</v>
      </c>
      <c r="C3" s="5">
        <v>98</v>
      </c>
      <c r="D3" s="5">
        <v>100</v>
      </c>
      <c r="E3" s="5">
        <v>91</v>
      </c>
      <c r="F3" s="5" t="s">
        <v>337</v>
      </c>
      <c r="G3" s="5" t="s">
        <v>346</v>
      </c>
    </row>
    <row r="4" spans="1:7" ht="14.4" x14ac:dyDescent="0.3">
      <c r="A4" s="5" t="s">
        <v>348</v>
      </c>
      <c r="B4" s="5" t="s">
        <v>343</v>
      </c>
      <c r="C4" s="5">
        <v>87</v>
      </c>
      <c r="D4" s="5">
        <v>92.5</v>
      </c>
      <c r="E4" s="5">
        <v>35.5</v>
      </c>
      <c r="F4" s="5" t="s">
        <v>351</v>
      </c>
      <c r="G4" s="5" t="s">
        <v>352</v>
      </c>
    </row>
    <row r="5" spans="1:7" ht="14.4" x14ac:dyDescent="0.3">
      <c r="A5" s="5" t="s">
        <v>353</v>
      </c>
      <c r="B5" s="5" t="s">
        <v>354</v>
      </c>
      <c r="C5" s="5">
        <v>98</v>
      </c>
      <c r="D5" s="5">
        <v>95</v>
      </c>
      <c r="E5" s="5">
        <v>96.5</v>
      </c>
      <c r="F5" s="5" t="s">
        <v>339</v>
      </c>
      <c r="G5" s="5" t="s">
        <v>356</v>
      </c>
    </row>
    <row r="6" spans="1:7" ht="14.4" x14ac:dyDescent="0.3">
      <c r="A6" s="16" t="s">
        <v>2180</v>
      </c>
      <c r="B6" s="16" t="s">
        <v>2181</v>
      </c>
      <c r="C6" s="5">
        <v>0</v>
      </c>
      <c r="D6" s="5">
        <v>0</v>
      </c>
      <c r="E6" s="5">
        <v>0</v>
      </c>
      <c r="F6" s="8" t="s">
        <v>2182</v>
      </c>
      <c r="G6" s="5" t="s">
        <v>356</v>
      </c>
    </row>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customSheetViews>
    <customSheetView guid="{822489B9-B5AF-4B5A-A36A-34C79EE03002}" filter="1" showAutoFilter="1">
      <pageMargins left="0.7" right="0.7" top="0.75" bottom="0.75" header="0.3" footer="0.3"/>
      <autoFilter ref="A1:G5" xr:uid="{46FCFFFE-E894-4D48-8385-E7697F326F7D}"/>
      <extLst>
        <ext uri="GoogleSheetsCustomDataVersion1">
          <go:sheetsCustomData xmlns:go="http://customooxmlschemas.google.com/" filterViewId="939197473"/>
        </ext>
      </extLst>
    </customSheetView>
  </customSheetViews>
  <pageMargins left="0.75" right="0.75" top="1" bottom="1" header="0" footer="0"/>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C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50" customWidth="1"/>
    <col min="2" max="2" width="14" customWidth="1"/>
    <col min="3" max="3" width="100" customWidth="1"/>
    <col min="4" max="26" width="8.6640625" customWidth="1"/>
  </cols>
  <sheetData>
    <row r="1" spans="1:3" ht="30" customHeight="1" x14ac:dyDescent="0.3">
      <c r="A1" s="4" t="s">
        <v>374</v>
      </c>
      <c r="B1" s="4" t="s">
        <v>375</v>
      </c>
      <c r="C1" s="4" t="s">
        <v>377</v>
      </c>
    </row>
    <row r="2" spans="1:3" ht="14.4" x14ac:dyDescent="0.3">
      <c r="A2" s="5" t="s">
        <v>378</v>
      </c>
      <c r="B2" s="5" t="s">
        <v>379</v>
      </c>
      <c r="C2" s="5" t="s">
        <v>380</v>
      </c>
    </row>
    <row r="3" spans="1:3" ht="14.4" x14ac:dyDescent="0.3">
      <c r="A3" s="5" t="s">
        <v>381</v>
      </c>
      <c r="B3" s="5" t="s">
        <v>382</v>
      </c>
      <c r="C3" s="5" t="s">
        <v>380</v>
      </c>
    </row>
    <row r="4" spans="1:3" ht="14.4" x14ac:dyDescent="0.3">
      <c r="A4" s="5" t="s">
        <v>383</v>
      </c>
      <c r="B4" s="5" t="s">
        <v>385</v>
      </c>
      <c r="C4" s="5" t="s">
        <v>380</v>
      </c>
    </row>
    <row r="5" spans="1:3" ht="14.4" x14ac:dyDescent="0.3">
      <c r="A5" s="5" t="s">
        <v>386</v>
      </c>
      <c r="B5" s="5" t="s">
        <v>387</v>
      </c>
      <c r="C5" s="5" t="s">
        <v>380</v>
      </c>
    </row>
    <row r="6" spans="1:3" ht="14.4" x14ac:dyDescent="0.3">
      <c r="A6" s="5" t="s">
        <v>388</v>
      </c>
      <c r="B6" s="5" t="s">
        <v>390</v>
      </c>
      <c r="C6" s="5" t="s">
        <v>380</v>
      </c>
    </row>
    <row r="7" spans="1:3" ht="14.4" x14ac:dyDescent="0.3">
      <c r="A7" s="5" t="s">
        <v>391</v>
      </c>
      <c r="B7" s="5" t="s">
        <v>382</v>
      </c>
      <c r="C7" s="5" t="s">
        <v>380</v>
      </c>
    </row>
    <row r="8" spans="1:3" ht="14.4" x14ac:dyDescent="0.3">
      <c r="A8" s="5" t="s">
        <v>393</v>
      </c>
      <c r="B8" s="5" t="s">
        <v>394</v>
      </c>
      <c r="C8" s="5" t="s">
        <v>380</v>
      </c>
    </row>
    <row r="9" spans="1:3" ht="14.4" x14ac:dyDescent="0.3">
      <c r="A9" s="5" t="s">
        <v>395</v>
      </c>
      <c r="B9" s="5" t="s">
        <v>396</v>
      </c>
      <c r="C9" s="5" t="s">
        <v>380</v>
      </c>
    </row>
    <row r="10" spans="1:3" ht="14.4" x14ac:dyDescent="0.3">
      <c r="A10" s="5" t="s">
        <v>398</v>
      </c>
      <c r="B10" s="5" t="s">
        <v>400</v>
      </c>
      <c r="C10" s="5" t="s">
        <v>380</v>
      </c>
    </row>
    <row r="11" spans="1:3" ht="14.4" x14ac:dyDescent="0.3">
      <c r="A11" s="5" t="s">
        <v>402</v>
      </c>
      <c r="B11" s="5" t="s">
        <v>379</v>
      </c>
      <c r="C11" s="5" t="s">
        <v>380</v>
      </c>
    </row>
    <row r="12" spans="1:3" ht="14.4" x14ac:dyDescent="0.3">
      <c r="A12" s="5" t="s">
        <v>405</v>
      </c>
      <c r="B12" s="5" t="s">
        <v>400</v>
      </c>
      <c r="C12" s="5" t="s">
        <v>380</v>
      </c>
    </row>
    <row r="13" spans="1:3" ht="14.4" x14ac:dyDescent="0.3">
      <c r="A13" s="5" t="s">
        <v>407</v>
      </c>
      <c r="B13" s="5" t="s">
        <v>400</v>
      </c>
      <c r="C13" s="5" t="s">
        <v>380</v>
      </c>
    </row>
    <row r="14" spans="1:3" ht="14.4" x14ac:dyDescent="0.3">
      <c r="A14" s="5" t="s">
        <v>409</v>
      </c>
      <c r="B14" s="5" t="s">
        <v>400</v>
      </c>
      <c r="C14" s="5" t="s">
        <v>380</v>
      </c>
    </row>
    <row r="15" spans="1:3" ht="14.4" x14ac:dyDescent="0.3">
      <c r="A15" s="5" t="s">
        <v>411</v>
      </c>
      <c r="B15" s="5" t="s">
        <v>400</v>
      </c>
      <c r="C15" s="5" t="s">
        <v>380</v>
      </c>
    </row>
    <row r="16" spans="1:3" ht="14.4" x14ac:dyDescent="0.3">
      <c r="A16" s="5" t="s">
        <v>419</v>
      </c>
      <c r="B16" s="5" t="s">
        <v>400</v>
      </c>
      <c r="C16" s="5" t="s">
        <v>380</v>
      </c>
    </row>
    <row r="17" spans="1:3" ht="14.4" x14ac:dyDescent="0.3">
      <c r="A17" s="5" t="s">
        <v>431</v>
      </c>
      <c r="B17" s="5" t="s">
        <v>400</v>
      </c>
      <c r="C17" s="5" t="s">
        <v>380</v>
      </c>
    </row>
    <row r="18" spans="1:3" ht="14.4" x14ac:dyDescent="0.3">
      <c r="A18" s="5" t="s">
        <v>437</v>
      </c>
      <c r="B18" s="5" t="s">
        <v>390</v>
      </c>
      <c r="C18" s="5" t="s">
        <v>380</v>
      </c>
    </row>
    <row r="19" spans="1:3" ht="14.4" x14ac:dyDescent="0.3">
      <c r="A19" s="5" t="s">
        <v>446</v>
      </c>
      <c r="B19" s="5" t="s">
        <v>400</v>
      </c>
      <c r="C19" s="5" t="s">
        <v>380</v>
      </c>
    </row>
    <row r="20" spans="1:3" ht="14.4" x14ac:dyDescent="0.3">
      <c r="A20" s="5" t="s">
        <v>458</v>
      </c>
      <c r="B20" s="5" t="s">
        <v>400</v>
      </c>
      <c r="C20" s="5" t="s">
        <v>380</v>
      </c>
    </row>
    <row r="21" spans="1:3" ht="15.75" customHeight="1" x14ac:dyDescent="0.3">
      <c r="A21" s="5" t="s">
        <v>467</v>
      </c>
      <c r="B21" s="5" t="s">
        <v>468</v>
      </c>
      <c r="C21" s="5" t="s">
        <v>380</v>
      </c>
    </row>
    <row r="22" spans="1:3" ht="15.75" customHeight="1" x14ac:dyDescent="0.3">
      <c r="A22" s="5" t="s">
        <v>473</v>
      </c>
      <c r="B22" s="5" t="s">
        <v>475</v>
      </c>
      <c r="C22" s="5" t="s">
        <v>380</v>
      </c>
    </row>
    <row r="23" spans="1:3" ht="15.75" customHeight="1" x14ac:dyDescent="0.3">
      <c r="A23" s="5" t="s">
        <v>477</v>
      </c>
      <c r="B23" s="5" t="s">
        <v>481</v>
      </c>
      <c r="C23" s="5" t="s">
        <v>380</v>
      </c>
    </row>
    <row r="24" spans="1:3" ht="15.75" customHeight="1" x14ac:dyDescent="0.3">
      <c r="A24" s="5" t="s">
        <v>489</v>
      </c>
      <c r="B24" s="5" t="s">
        <v>492</v>
      </c>
      <c r="C24" s="5" t="s">
        <v>380</v>
      </c>
    </row>
    <row r="25" spans="1:3" ht="15.75" customHeight="1" x14ac:dyDescent="0.3">
      <c r="A25" s="5" t="s">
        <v>495</v>
      </c>
      <c r="B25" s="5" t="s">
        <v>400</v>
      </c>
      <c r="C25" s="5" t="s">
        <v>380</v>
      </c>
    </row>
    <row r="26" spans="1:3" ht="15.75" customHeight="1" x14ac:dyDescent="0.3">
      <c r="A26" s="5" t="s">
        <v>505</v>
      </c>
      <c r="B26" s="5" t="s">
        <v>509</v>
      </c>
      <c r="C26" s="5" t="s">
        <v>380</v>
      </c>
    </row>
    <row r="27" spans="1:3" ht="15.75" customHeight="1" x14ac:dyDescent="0.3">
      <c r="A27" s="5" t="s">
        <v>513</v>
      </c>
      <c r="B27" s="5" t="s">
        <v>516</v>
      </c>
      <c r="C27" s="5" t="s">
        <v>380</v>
      </c>
    </row>
    <row r="28" spans="1:3" ht="15.75" customHeight="1" x14ac:dyDescent="0.3">
      <c r="A28" s="5" t="s">
        <v>522</v>
      </c>
      <c r="B28" s="5" t="s">
        <v>382</v>
      </c>
      <c r="C28" s="5" t="s">
        <v>380</v>
      </c>
    </row>
    <row r="29" spans="1:3" ht="15.75" customHeight="1" x14ac:dyDescent="0.3">
      <c r="A29" s="5" t="s">
        <v>529</v>
      </c>
      <c r="B29" s="5" t="s">
        <v>400</v>
      </c>
      <c r="C29" s="5" t="s">
        <v>380</v>
      </c>
    </row>
    <row r="30" spans="1:3" ht="15.75" customHeight="1" x14ac:dyDescent="0.3">
      <c r="A30" s="5" t="s">
        <v>539</v>
      </c>
      <c r="B30" s="5" t="s">
        <v>541</v>
      </c>
      <c r="C30" s="5" t="s">
        <v>380</v>
      </c>
    </row>
    <row r="31" spans="1:3" ht="15.75" customHeight="1" x14ac:dyDescent="0.3">
      <c r="A31" s="5" t="s">
        <v>548</v>
      </c>
      <c r="B31" s="5" t="s">
        <v>400</v>
      </c>
      <c r="C31" s="5" t="s">
        <v>380</v>
      </c>
    </row>
    <row r="32" spans="1:3" ht="15.75" customHeight="1" x14ac:dyDescent="0.3">
      <c r="A32" s="5" t="s">
        <v>557</v>
      </c>
      <c r="B32" s="5" t="s">
        <v>558</v>
      </c>
      <c r="C32" s="5" t="s">
        <v>380</v>
      </c>
    </row>
    <row r="33" spans="1:3" ht="15.75" customHeight="1" x14ac:dyDescent="0.3">
      <c r="A33" s="5" t="s">
        <v>560</v>
      </c>
      <c r="B33" s="5" t="s">
        <v>400</v>
      </c>
      <c r="C33" s="5" t="s">
        <v>380</v>
      </c>
    </row>
    <row r="34" spans="1:3" ht="15.75" customHeight="1" x14ac:dyDescent="0.3">
      <c r="A34" s="5" t="s">
        <v>570</v>
      </c>
      <c r="B34" s="5" t="s">
        <v>379</v>
      </c>
      <c r="C34" s="5" t="s">
        <v>380</v>
      </c>
    </row>
    <row r="35" spans="1:3" ht="15.75" customHeight="1" x14ac:dyDescent="0.3">
      <c r="A35" s="5" t="s">
        <v>574</v>
      </c>
      <c r="B35" s="5" t="s">
        <v>400</v>
      </c>
      <c r="C35" s="5" t="s">
        <v>380</v>
      </c>
    </row>
    <row r="36" spans="1:3" ht="15.75" customHeight="1" x14ac:dyDescent="0.3">
      <c r="A36" s="5" t="s">
        <v>580</v>
      </c>
      <c r="B36" s="5" t="s">
        <v>541</v>
      </c>
      <c r="C36" s="5" t="s">
        <v>380</v>
      </c>
    </row>
    <row r="37" spans="1:3" ht="15.75" customHeight="1" x14ac:dyDescent="0.3">
      <c r="A37" s="5" t="s">
        <v>589</v>
      </c>
      <c r="B37" s="5" t="s">
        <v>400</v>
      </c>
      <c r="C37" s="5" t="s">
        <v>380</v>
      </c>
    </row>
    <row r="38" spans="1:3" ht="15.75" customHeight="1" x14ac:dyDescent="0.3">
      <c r="A38" s="5" t="s">
        <v>597</v>
      </c>
      <c r="B38" s="5" t="s">
        <v>400</v>
      </c>
      <c r="C38" s="5" t="s">
        <v>380</v>
      </c>
    </row>
    <row r="39" spans="1:3" ht="15.75" customHeight="1" x14ac:dyDescent="0.3">
      <c r="A39" s="5" t="s">
        <v>600</v>
      </c>
      <c r="B39" s="5" t="s">
        <v>400</v>
      </c>
      <c r="C39" s="5" t="s">
        <v>380</v>
      </c>
    </row>
    <row r="40" spans="1:3" ht="15.75" customHeight="1" x14ac:dyDescent="0.3">
      <c r="A40" s="5" t="s">
        <v>609</v>
      </c>
      <c r="B40" s="5" t="s">
        <v>613</v>
      </c>
      <c r="C40" s="5" t="s">
        <v>380</v>
      </c>
    </row>
    <row r="41" spans="1:3" ht="15.75" customHeight="1" x14ac:dyDescent="0.3">
      <c r="A41" s="5" t="s">
        <v>615</v>
      </c>
      <c r="B41" s="5" t="s">
        <v>541</v>
      </c>
      <c r="C41" s="5" t="s">
        <v>380</v>
      </c>
    </row>
    <row r="42" spans="1:3" ht="15.75" customHeight="1" x14ac:dyDescent="0.3">
      <c r="A42" s="5" t="s">
        <v>623</v>
      </c>
      <c r="B42" s="5" t="s">
        <v>394</v>
      </c>
      <c r="C42" s="5" t="s">
        <v>380</v>
      </c>
    </row>
    <row r="43" spans="1:3" ht="15.75" customHeight="1" x14ac:dyDescent="0.3">
      <c r="A43" s="5" t="s">
        <v>628</v>
      </c>
      <c r="B43" s="5" t="s">
        <v>632</v>
      </c>
      <c r="C43" s="5" t="s">
        <v>380</v>
      </c>
    </row>
    <row r="44" spans="1:3" ht="15.75" customHeight="1" x14ac:dyDescent="0.3">
      <c r="A44" s="5" t="s">
        <v>638</v>
      </c>
      <c r="B44" s="5" t="s">
        <v>400</v>
      </c>
      <c r="C44" s="5" t="s">
        <v>380</v>
      </c>
    </row>
    <row r="45" spans="1:3" ht="15.75" customHeight="1" x14ac:dyDescent="0.3">
      <c r="A45" s="5" t="s">
        <v>640</v>
      </c>
      <c r="B45" s="5" t="s">
        <v>400</v>
      </c>
      <c r="C45" s="5" t="s">
        <v>380</v>
      </c>
    </row>
    <row r="46" spans="1:3" ht="15.75" customHeight="1" x14ac:dyDescent="0.3">
      <c r="A46" s="5" t="s">
        <v>648</v>
      </c>
      <c r="B46" s="5" t="s">
        <v>650</v>
      </c>
      <c r="C46" s="5" t="s">
        <v>380</v>
      </c>
    </row>
    <row r="47" spans="1:3" ht="15.75" customHeight="1" x14ac:dyDescent="0.3">
      <c r="A47" s="5" t="s">
        <v>655</v>
      </c>
      <c r="B47" s="5" t="s">
        <v>541</v>
      </c>
      <c r="C47" s="5" t="s">
        <v>380</v>
      </c>
    </row>
    <row r="48" spans="1:3" ht="15.75" customHeight="1" x14ac:dyDescent="0.3">
      <c r="A48" s="5" t="s">
        <v>662</v>
      </c>
      <c r="B48" s="5" t="s">
        <v>509</v>
      </c>
      <c r="C48" s="5" t="s">
        <v>380</v>
      </c>
    </row>
    <row r="49" spans="1:3" ht="15.75" customHeight="1" x14ac:dyDescent="0.3">
      <c r="A49" s="5" t="s">
        <v>666</v>
      </c>
      <c r="B49" s="5" t="s">
        <v>668</v>
      </c>
      <c r="C49" s="5" t="s">
        <v>380</v>
      </c>
    </row>
    <row r="50" spans="1:3" ht="15.75" customHeight="1" x14ac:dyDescent="0.3">
      <c r="A50" s="5" t="s">
        <v>672</v>
      </c>
      <c r="B50" s="5" t="s">
        <v>673</v>
      </c>
      <c r="C50" s="5" t="s">
        <v>380</v>
      </c>
    </row>
    <row r="51" spans="1:3" ht="15.75" customHeight="1" x14ac:dyDescent="0.3">
      <c r="A51" s="5" t="s">
        <v>674</v>
      </c>
      <c r="B51" s="5" t="s">
        <v>541</v>
      </c>
      <c r="C51" s="5" t="s">
        <v>380</v>
      </c>
    </row>
    <row r="52" spans="1:3" ht="15.75" customHeight="1" x14ac:dyDescent="0.3">
      <c r="A52" s="5" t="s">
        <v>680</v>
      </c>
      <c r="B52" s="5" t="s">
        <v>400</v>
      </c>
      <c r="C52" s="5" t="s">
        <v>380</v>
      </c>
    </row>
    <row r="53" spans="1:3" ht="15.75" customHeight="1" x14ac:dyDescent="0.3">
      <c r="A53" s="5" t="s">
        <v>682</v>
      </c>
      <c r="B53" s="5" t="s">
        <v>400</v>
      </c>
      <c r="C53" s="5" t="s">
        <v>380</v>
      </c>
    </row>
    <row r="54" spans="1:3" ht="15.75" customHeight="1" x14ac:dyDescent="0.3">
      <c r="A54" s="5" t="s">
        <v>685</v>
      </c>
      <c r="B54" s="5" t="s">
        <v>492</v>
      </c>
      <c r="C54" s="5" t="s">
        <v>380</v>
      </c>
    </row>
    <row r="55" spans="1:3" ht="15.75" customHeight="1" x14ac:dyDescent="0.3">
      <c r="A55" s="5" t="s">
        <v>694</v>
      </c>
      <c r="B55" s="5" t="s">
        <v>385</v>
      </c>
      <c r="C55" s="5" t="s">
        <v>380</v>
      </c>
    </row>
    <row r="56" spans="1:3" ht="15.75" customHeight="1" x14ac:dyDescent="0.3"/>
    <row r="57" spans="1:3" ht="15.75" customHeight="1" x14ac:dyDescent="0.3"/>
    <row r="58" spans="1:3" ht="15.75" customHeight="1" x14ac:dyDescent="0.3"/>
    <row r="59" spans="1:3" ht="15.75" customHeight="1" x14ac:dyDescent="0.3"/>
    <row r="60" spans="1:3" ht="15.75" customHeight="1" x14ac:dyDescent="0.3"/>
    <row r="61" spans="1:3" ht="15.75" customHeight="1" x14ac:dyDescent="0.3"/>
    <row r="62" spans="1:3" ht="15.75" customHeight="1" x14ac:dyDescent="0.3"/>
    <row r="63" spans="1:3" ht="15.75" customHeight="1" x14ac:dyDescent="0.3"/>
    <row r="64" spans="1:3"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2D6D3BAF-50D5-462D-A894-9456022FACF1}" filter="1" showAutoFilter="1">
      <pageMargins left="0.7" right="0.7" top="0.75" bottom="0.75" header="0.3" footer="0.3"/>
      <autoFilter ref="A1:C55" xr:uid="{4E19E0C3-160E-4772-BB33-BD5F1F6F0DB2}"/>
      <extLst>
        <ext uri="GoogleSheetsCustomDataVersion1">
          <go:sheetsCustomData xmlns:go="http://customooxmlschemas.google.com/" filterViewId="1367547598"/>
        </ext>
      </extLst>
    </customSheetView>
  </customSheetViews>
  <pageMargins left="0.75" right="0.75" top="1" bottom="1" header="0" footer="0"/>
  <pageSetup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G1000"/>
  <sheetViews>
    <sheetView showGridLines="0" workbookViewId="0">
      <pane ySplit="1" topLeftCell="A2" activePane="bottomLeft" state="frozen"/>
      <selection pane="bottomLeft" activeCell="L24" sqref="L24"/>
    </sheetView>
  </sheetViews>
  <sheetFormatPr baseColWidth="10" defaultColWidth="14.44140625" defaultRowHeight="15" customHeight="1" x14ac:dyDescent="0.3"/>
  <cols>
    <col min="1" max="1" width="40" customWidth="1"/>
    <col min="2" max="3" width="14" customWidth="1"/>
    <col min="4" max="4" width="16" customWidth="1"/>
    <col min="5" max="5" width="20" customWidth="1"/>
    <col min="6" max="6" width="18" customWidth="1"/>
    <col min="7" max="7" width="20" customWidth="1"/>
    <col min="8" max="26" width="8.6640625" customWidth="1"/>
  </cols>
  <sheetData>
    <row r="1" spans="1:7" ht="30" customHeight="1" x14ac:dyDescent="0.3">
      <c r="A1" s="4" t="s">
        <v>173</v>
      </c>
      <c r="B1" s="4" t="s">
        <v>399</v>
      </c>
      <c r="C1" s="4" t="s">
        <v>401</v>
      </c>
      <c r="D1" s="4" t="s">
        <v>403</v>
      </c>
      <c r="E1" s="4" t="s">
        <v>328</v>
      </c>
      <c r="F1" s="4" t="s">
        <v>406</v>
      </c>
      <c r="G1" s="4" t="s">
        <v>331</v>
      </c>
    </row>
    <row r="2" spans="1:7" ht="14.4" x14ac:dyDescent="0.3">
      <c r="A2" s="5" t="s">
        <v>410</v>
      </c>
      <c r="B2" s="8" t="s">
        <v>462</v>
      </c>
      <c r="C2" s="8" t="s">
        <v>462</v>
      </c>
      <c r="D2" s="5" t="s">
        <v>50</v>
      </c>
      <c r="E2" s="5" t="s">
        <v>428</v>
      </c>
      <c r="F2" s="5" t="s">
        <v>256</v>
      </c>
      <c r="G2" s="5" t="s">
        <v>341</v>
      </c>
    </row>
    <row r="3" spans="1:7" ht="14.4" x14ac:dyDescent="0.3">
      <c r="A3" s="5" t="s">
        <v>449</v>
      </c>
      <c r="B3" s="8" t="s">
        <v>462</v>
      </c>
      <c r="C3" s="8" t="s">
        <v>462</v>
      </c>
      <c r="D3" s="5" t="s">
        <v>50</v>
      </c>
      <c r="E3" s="5" t="s">
        <v>428</v>
      </c>
      <c r="F3" s="5" t="s">
        <v>50</v>
      </c>
      <c r="G3" s="5" t="s">
        <v>476</v>
      </c>
    </row>
    <row r="4" spans="1:7" ht="14.4" x14ac:dyDescent="0.3">
      <c r="A4" s="5" t="s">
        <v>479</v>
      </c>
      <c r="B4" s="8" t="s">
        <v>462</v>
      </c>
      <c r="C4" s="8" t="s">
        <v>462</v>
      </c>
      <c r="D4" s="5" t="s">
        <v>50</v>
      </c>
      <c r="E4" s="5" t="s">
        <v>428</v>
      </c>
      <c r="F4" s="5" t="s">
        <v>256</v>
      </c>
      <c r="G4" s="5" t="s">
        <v>341</v>
      </c>
    </row>
    <row r="5" spans="1:7" ht="14.4" x14ac:dyDescent="0.3">
      <c r="A5" s="5" t="s">
        <v>502</v>
      </c>
      <c r="B5" s="8" t="s">
        <v>462</v>
      </c>
      <c r="C5" s="8" t="s">
        <v>462</v>
      </c>
      <c r="D5" s="5" t="s">
        <v>50</v>
      </c>
      <c r="E5" s="5" t="s">
        <v>428</v>
      </c>
      <c r="F5" s="5" t="s">
        <v>256</v>
      </c>
      <c r="G5" s="5" t="s">
        <v>341</v>
      </c>
    </row>
    <row r="6" spans="1:7" ht="14.4" x14ac:dyDescent="0.3">
      <c r="A6" s="5" t="s">
        <v>530</v>
      </c>
      <c r="B6" s="8" t="s">
        <v>462</v>
      </c>
      <c r="C6" s="8" t="s">
        <v>462</v>
      </c>
      <c r="D6" s="5" t="s">
        <v>50</v>
      </c>
      <c r="E6" s="5" t="s">
        <v>428</v>
      </c>
      <c r="F6" s="5" t="s">
        <v>256</v>
      </c>
      <c r="G6" s="5" t="s">
        <v>341</v>
      </c>
    </row>
    <row r="7" spans="1:7" ht="14.4" x14ac:dyDescent="0.3">
      <c r="A7" s="5" t="s">
        <v>556</v>
      </c>
      <c r="B7" s="8" t="s">
        <v>462</v>
      </c>
      <c r="C7" s="8" t="s">
        <v>462</v>
      </c>
      <c r="D7" s="5" t="s">
        <v>50</v>
      </c>
      <c r="E7" s="5" t="s">
        <v>428</v>
      </c>
      <c r="F7" s="5" t="s">
        <v>256</v>
      </c>
      <c r="G7" s="5" t="s">
        <v>341</v>
      </c>
    </row>
    <row r="8" spans="1:7" ht="14.4" x14ac:dyDescent="0.3">
      <c r="A8" s="5" t="s">
        <v>573</v>
      </c>
      <c r="B8" s="8" t="s">
        <v>462</v>
      </c>
      <c r="C8" s="8" t="s">
        <v>462</v>
      </c>
      <c r="D8" s="5" t="s">
        <v>50</v>
      </c>
      <c r="E8" s="5" t="s">
        <v>428</v>
      </c>
      <c r="F8" s="5" t="s">
        <v>256</v>
      </c>
      <c r="G8" s="5" t="s">
        <v>341</v>
      </c>
    </row>
    <row r="9" spans="1:7" ht="14.4" x14ac:dyDescent="0.3">
      <c r="A9" s="5" t="s">
        <v>591</v>
      </c>
      <c r="B9" s="8" t="s">
        <v>462</v>
      </c>
      <c r="C9" s="8" t="s">
        <v>462</v>
      </c>
      <c r="D9" s="5" t="s">
        <v>50</v>
      </c>
      <c r="E9" s="5" t="s">
        <v>428</v>
      </c>
      <c r="F9" s="5" t="s">
        <v>50</v>
      </c>
      <c r="G9" s="5" t="s">
        <v>601</v>
      </c>
    </row>
    <row r="10" spans="1:7" ht="14.4" x14ac:dyDescent="0.3">
      <c r="A10" s="5" t="s">
        <v>608</v>
      </c>
      <c r="B10" s="8" t="s">
        <v>462</v>
      </c>
      <c r="C10" s="8" t="s">
        <v>462</v>
      </c>
      <c r="D10" s="5" t="s">
        <v>50</v>
      </c>
      <c r="E10" s="5" t="s">
        <v>428</v>
      </c>
      <c r="F10" s="5" t="s">
        <v>50</v>
      </c>
      <c r="G10" s="5" t="s">
        <v>626</v>
      </c>
    </row>
    <row r="11" spans="1:7" ht="14.4" x14ac:dyDescent="0.3">
      <c r="A11" s="5" t="s">
        <v>627</v>
      </c>
      <c r="B11" s="8" t="s">
        <v>462</v>
      </c>
      <c r="C11" s="8" t="s">
        <v>462</v>
      </c>
      <c r="D11" s="5" t="s">
        <v>50</v>
      </c>
      <c r="E11" s="5" t="s">
        <v>428</v>
      </c>
      <c r="F11" s="5" t="s">
        <v>50</v>
      </c>
      <c r="G11" s="5" t="s">
        <v>626</v>
      </c>
    </row>
    <row r="12" spans="1:7" ht="14.4" x14ac:dyDescent="0.3">
      <c r="A12" s="5" t="s">
        <v>645</v>
      </c>
      <c r="B12" s="8" t="s">
        <v>462</v>
      </c>
      <c r="C12" s="8" t="s">
        <v>462</v>
      </c>
      <c r="D12" s="5" t="s">
        <v>50</v>
      </c>
      <c r="E12" s="5" t="s">
        <v>652</v>
      </c>
      <c r="F12" s="5" t="s">
        <v>256</v>
      </c>
      <c r="G12" s="5" t="s">
        <v>341</v>
      </c>
    </row>
    <row r="13" spans="1:7" ht="14.4" x14ac:dyDescent="0.3">
      <c r="A13" s="5" t="s">
        <v>667</v>
      </c>
      <c r="B13" s="8" t="s">
        <v>462</v>
      </c>
      <c r="C13" s="9">
        <v>0</v>
      </c>
      <c r="D13" s="5" t="s">
        <v>341</v>
      </c>
      <c r="E13" s="5" t="s">
        <v>341</v>
      </c>
      <c r="F13" s="5" t="s">
        <v>341</v>
      </c>
      <c r="G13" s="5" t="s">
        <v>341</v>
      </c>
    </row>
    <row r="14" spans="1:7" ht="14.4" x14ac:dyDescent="0.3">
      <c r="A14" s="5" t="s">
        <v>681</v>
      </c>
      <c r="B14" s="8" t="s">
        <v>462</v>
      </c>
      <c r="C14" s="9">
        <v>0</v>
      </c>
      <c r="D14" s="5" t="s">
        <v>341</v>
      </c>
      <c r="E14" s="5" t="s">
        <v>683</v>
      </c>
      <c r="F14" s="5" t="s">
        <v>341</v>
      </c>
      <c r="G14" s="5" t="s">
        <v>341</v>
      </c>
    </row>
    <row r="15" spans="1:7" ht="14.4" x14ac:dyDescent="0.3">
      <c r="A15" s="5" t="s">
        <v>693</v>
      </c>
      <c r="B15" s="8" t="s">
        <v>462</v>
      </c>
      <c r="C15" s="8" t="s">
        <v>2175</v>
      </c>
      <c r="D15" s="5" t="s">
        <v>341</v>
      </c>
      <c r="E15" s="5" t="s">
        <v>683</v>
      </c>
      <c r="F15" s="5"/>
      <c r="G15" s="5"/>
    </row>
    <row r="16" spans="1:7" ht="14.4" x14ac:dyDescent="0.3">
      <c r="A16" s="5" t="s">
        <v>703</v>
      </c>
      <c r="B16" s="8" t="s">
        <v>462</v>
      </c>
      <c r="C16" s="9">
        <v>0</v>
      </c>
      <c r="D16" s="5" t="s">
        <v>341</v>
      </c>
      <c r="E16" s="5" t="s">
        <v>712</v>
      </c>
      <c r="F16" s="5" t="s">
        <v>341</v>
      </c>
      <c r="G16" s="5" t="s">
        <v>341</v>
      </c>
    </row>
    <row r="17" spans="1:7" ht="14.4" x14ac:dyDescent="0.3">
      <c r="A17" s="5" t="s">
        <v>715</v>
      </c>
      <c r="B17" s="8" t="s">
        <v>344</v>
      </c>
      <c r="C17" s="9">
        <v>0</v>
      </c>
      <c r="D17" s="5" t="s">
        <v>341</v>
      </c>
      <c r="E17" s="5" t="s">
        <v>712</v>
      </c>
      <c r="F17" s="5" t="s">
        <v>341</v>
      </c>
      <c r="G17" s="5" t="s">
        <v>341</v>
      </c>
    </row>
    <row r="18" spans="1:7" ht="14.4" x14ac:dyDescent="0.3">
      <c r="A18" s="5" t="s">
        <v>721</v>
      </c>
      <c r="B18" s="8" t="s">
        <v>462</v>
      </c>
      <c r="C18" s="9">
        <v>0</v>
      </c>
      <c r="D18" s="5" t="s">
        <v>341</v>
      </c>
      <c r="E18" s="5" t="s">
        <v>712</v>
      </c>
      <c r="F18" s="5" t="s">
        <v>341</v>
      </c>
      <c r="G18" s="5" t="s">
        <v>341</v>
      </c>
    </row>
    <row r="19" spans="1:7" ht="14.4" x14ac:dyDescent="0.3">
      <c r="A19" s="5" t="s">
        <v>732</v>
      </c>
      <c r="B19" s="8" t="s">
        <v>349</v>
      </c>
      <c r="C19" s="9">
        <v>0</v>
      </c>
      <c r="D19" s="5" t="s">
        <v>341</v>
      </c>
      <c r="E19" s="5" t="s">
        <v>341</v>
      </c>
      <c r="F19" s="5" t="s">
        <v>341</v>
      </c>
      <c r="G19" s="5" t="s">
        <v>341</v>
      </c>
    </row>
    <row r="21" spans="1:7" ht="15.75" customHeight="1" x14ac:dyDescent="0.3"/>
    <row r="22" spans="1:7" ht="15.75" customHeight="1" x14ac:dyDescent="0.3"/>
    <row r="23" spans="1:7" ht="15.75" customHeight="1" x14ac:dyDescent="0.3"/>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0F46A095-08D4-46DE-B13B-C8DFB14380D6}" filter="1" showAutoFilter="1">
      <pageMargins left="0.7" right="0.7" top="0.75" bottom="0.75" header="0.3" footer="0.3"/>
      <autoFilter ref="A1:G19" xr:uid="{3720C27B-2DD1-409F-8245-8DF4F9DE8174}"/>
      <extLst>
        <ext uri="GoogleSheetsCustomDataVersion1">
          <go:sheetsCustomData xmlns:go="http://customooxmlschemas.google.com/" filterViewId="153716987"/>
        </ext>
      </extLst>
    </customSheetView>
  </customSheetViews>
  <dataValidations count="2">
    <dataValidation type="custom" allowBlank="1" showDropDown="1" sqref="C13:C14 C16:C19" xr:uid="{00000000-0002-0000-0D00-000000000000}">
      <formula1>AND(ISNUMBER(C13),(NOT(OR(NOT(ISERROR(DATEVALUE(C13))), AND(ISNUMBER(C13), LEFT(CELL("format", C13))="D")))))</formula1>
    </dataValidation>
    <dataValidation allowBlank="1" showDropDown="1" sqref="C15 C2:C12 B2:B19" xr:uid="{00000000-0002-0000-0D00-000001000000}"/>
  </dataValidations>
  <pageMargins left="0.75" right="0.75" top="1" bottom="1" header="0" footer="0"/>
  <pageSetup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P1000"/>
  <sheetViews>
    <sheetView showGridLines="0" workbookViewId="0">
      <pane ySplit="6" topLeftCell="A25" activePane="bottomLeft" state="frozen"/>
      <selection pane="bottomLeft" activeCell="B8" sqref="B8"/>
    </sheetView>
  </sheetViews>
  <sheetFormatPr baseColWidth="10" defaultColWidth="14.44140625" defaultRowHeight="15" customHeight="1" x14ac:dyDescent="0.3"/>
  <cols>
    <col min="1" max="1" width="11.44140625" customWidth="1"/>
    <col min="2" max="2" width="13" customWidth="1"/>
    <col min="3" max="3" width="22.44140625" customWidth="1"/>
    <col min="4" max="4" width="32" customWidth="1"/>
    <col min="5" max="6" width="11.88671875" customWidth="1"/>
    <col min="7" max="9" width="32" customWidth="1"/>
    <col min="10" max="10" width="31.44140625" customWidth="1"/>
    <col min="11" max="12" width="14" customWidth="1"/>
    <col min="13" max="15" width="13" customWidth="1"/>
    <col min="16" max="16" width="10" customWidth="1"/>
    <col min="17" max="17" width="14" customWidth="1"/>
    <col min="18" max="18" width="30.44140625" customWidth="1"/>
    <col min="19" max="19" width="11.44140625" customWidth="1"/>
    <col min="20" max="20" width="32" customWidth="1"/>
    <col min="21" max="24" width="14.33203125" customWidth="1"/>
    <col min="25" max="25" width="13.33203125" customWidth="1"/>
    <col min="26" max="27" width="14.33203125" customWidth="1"/>
    <col min="28" max="28" width="23.5546875" customWidth="1"/>
    <col min="29" max="29" width="11.44140625" customWidth="1"/>
    <col min="30" max="31" width="32" customWidth="1"/>
    <col min="32" max="32" width="18" customWidth="1"/>
    <col min="33" max="33" width="32" customWidth="1"/>
    <col min="34" max="34" width="21.33203125" customWidth="1"/>
    <col min="35" max="35" width="14.109375" customWidth="1"/>
    <col min="36" max="36" width="32" customWidth="1"/>
    <col min="37" max="37" width="16.109375" customWidth="1"/>
    <col min="38" max="38" width="13.6640625" customWidth="1"/>
    <col min="39" max="39" width="32" customWidth="1"/>
    <col min="40" max="40" width="11.44140625" customWidth="1"/>
    <col min="41" max="41" width="20.33203125" customWidth="1"/>
    <col min="42" max="42" width="10" customWidth="1"/>
  </cols>
  <sheetData>
    <row r="1" spans="1:42" ht="14.4" x14ac:dyDescent="0.3">
      <c r="B1" s="5">
        <v>5518026</v>
      </c>
      <c r="C1" s="5" t="s">
        <v>389</v>
      </c>
      <c r="D1" s="5">
        <f>+SUM(U7:U107)</f>
        <v>5454483.2000000002</v>
      </c>
      <c r="F1" s="5">
        <f t="shared" ref="F1:F3" si="0">B1-D1</f>
        <v>63542.799999999814</v>
      </c>
    </row>
    <row r="2" spans="1:42" ht="14.4" x14ac:dyDescent="0.3">
      <c r="B2" s="5">
        <v>3192205</v>
      </c>
      <c r="C2" s="5" t="s">
        <v>397</v>
      </c>
      <c r="D2" s="5">
        <f>+SUM(U108:U300)</f>
        <v>3372510.0300000012</v>
      </c>
      <c r="F2" s="5">
        <f t="shared" si="0"/>
        <v>-180305.03000000119</v>
      </c>
      <c r="R2" s="5">
        <v>8710231</v>
      </c>
      <c r="T2" s="5">
        <v>106806.94</v>
      </c>
    </row>
    <row r="3" spans="1:42" ht="14.4" x14ac:dyDescent="0.3">
      <c r="B3" s="5">
        <v>8710231</v>
      </c>
      <c r="C3" s="5" t="s">
        <v>404</v>
      </c>
      <c r="D3" s="5">
        <f>+D1+D2</f>
        <v>8826993.2300000004</v>
      </c>
      <c r="F3" s="5">
        <f t="shared" si="0"/>
        <v>-116762.23000000045</v>
      </c>
    </row>
    <row r="4" spans="1:42" ht="14.4" x14ac:dyDescent="0.3">
      <c r="C4" s="5" t="s">
        <v>408</v>
      </c>
      <c r="D4" s="5">
        <f>+SUM(V7:V300)</f>
        <v>3312644.5842000013</v>
      </c>
      <c r="R4" s="5">
        <f>R2-D3</f>
        <v>-116762.23000000045</v>
      </c>
      <c r="T4" s="5">
        <f>R2+T2</f>
        <v>8817037.9399999995</v>
      </c>
    </row>
    <row r="6" spans="1:42" ht="45" customHeight="1" x14ac:dyDescent="0.3">
      <c r="A6" s="1" t="s">
        <v>112</v>
      </c>
      <c r="B6" s="1" t="s">
        <v>412</v>
      </c>
      <c r="C6" s="1" t="s">
        <v>413</v>
      </c>
      <c r="D6" s="1" t="s">
        <v>414</v>
      </c>
      <c r="E6" s="1" t="s">
        <v>415</v>
      </c>
      <c r="F6" s="1" t="s">
        <v>416</v>
      </c>
      <c r="G6" s="1" t="s">
        <v>417</v>
      </c>
      <c r="H6" s="1" t="s">
        <v>418</v>
      </c>
      <c r="I6" s="1" t="s">
        <v>420</v>
      </c>
      <c r="J6" s="1" t="s">
        <v>421</v>
      </c>
      <c r="K6" s="1" t="s">
        <v>422</v>
      </c>
      <c r="L6" s="1" t="s">
        <v>423</v>
      </c>
      <c r="M6" s="1" t="s">
        <v>424</v>
      </c>
      <c r="N6" s="1" t="s">
        <v>425</v>
      </c>
      <c r="O6" s="1" t="s">
        <v>426</v>
      </c>
      <c r="P6" s="1" t="s">
        <v>427</v>
      </c>
      <c r="Q6" s="1" t="s">
        <v>429</v>
      </c>
      <c r="R6" s="1" t="s">
        <v>253</v>
      </c>
      <c r="S6" s="1" t="s">
        <v>430</v>
      </c>
      <c r="T6" s="1" t="s">
        <v>432</v>
      </c>
      <c r="U6" s="1" t="s">
        <v>433</v>
      </c>
      <c r="V6" s="1" t="s">
        <v>434</v>
      </c>
      <c r="W6" s="1" t="s">
        <v>435</v>
      </c>
      <c r="X6" s="1" t="s">
        <v>436</v>
      </c>
      <c r="Y6" s="1" t="s">
        <v>438</v>
      </c>
      <c r="Z6" s="1" t="s">
        <v>439</v>
      </c>
      <c r="AA6" s="1" t="s">
        <v>440</v>
      </c>
      <c r="AB6" s="1" t="s">
        <v>441</v>
      </c>
      <c r="AC6" s="1" t="s">
        <v>442</v>
      </c>
      <c r="AD6" s="1" t="s">
        <v>443</v>
      </c>
      <c r="AE6" s="1" t="s">
        <v>444</v>
      </c>
      <c r="AF6" s="1" t="s">
        <v>445</v>
      </c>
      <c r="AG6" s="1" t="s">
        <v>447</v>
      </c>
      <c r="AH6" s="1" t="s">
        <v>448</v>
      </c>
      <c r="AI6" s="1" t="s">
        <v>450</v>
      </c>
      <c r="AJ6" s="1" t="s">
        <v>451</v>
      </c>
      <c r="AK6" s="1" t="s">
        <v>452</v>
      </c>
      <c r="AL6" s="1" t="s">
        <v>453</v>
      </c>
      <c r="AM6" s="1" t="s">
        <v>454</v>
      </c>
      <c r="AN6" s="1" t="s">
        <v>455</v>
      </c>
      <c r="AO6" s="1" t="s">
        <v>456</v>
      </c>
      <c r="AP6" s="1" t="s">
        <v>457</v>
      </c>
    </row>
    <row r="7" spans="1:42" ht="14.4" x14ac:dyDescent="0.3">
      <c r="A7" s="5">
        <v>1</v>
      </c>
      <c r="B7" s="5" t="s">
        <v>459</v>
      </c>
      <c r="C7" s="5" t="s">
        <v>460</v>
      </c>
      <c r="D7" s="5" t="s">
        <v>461</v>
      </c>
      <c r="H7" s="5" t="s">
        <v>463</v>
      </c>
      <c r="I7" s="5" t="s">
        <v>464</v>
      </c>
      <c r="J7" s="5" t="s">
        <v>465</v>
      </c>
      <c r="K7" s="5" t="s">
        <v>466</v>
      </c>
      <c r="L7" s="5">
        <f t="shared" ref="L7:L10" si="1">SUM(M7:O7)</f>
        <v>9</v>
      </c>
      <c r="M7" s="5">
        <v>1</v>
      </c>
      <c r="N7" s="5">
        <v>5</v>
      </c>
      <c r="O7" s="5">
        <v>3</v>
      </c>
      <c r="P7" s="5" t="s">
        <v>469</v>
      </c>
      <c r="Q7" s="5" t="s">
        <v>470</v>
      </c>
      <c r="R7" s="5" t="s">
        <v>471</v>
      </c>
      <c r="S7" s="5">
        <v>10220110</v>
      </c>
      <c r="T7" s="5" t="s">
        <v>472</v>
      </c>
      <c r="U7" s="5">
        <v>25000</v>
      </c>
      <c r="V7" s="5">
        <v>25000</v>
      </c>
      <c r="W7" s="5" t="s">
        <v>474</v>
      </c>
      <c r="X7" s="6">
        <v>46235</v>
      </c>
      <c r="Y7" s="6">
        <v>46264</v>
      </c>
      <c r="Z7" s="10"/>
      <c r="AA7" s="10"/>
      <c r="AB7" s="5" t="s">
        <v>478</v>
      </c>
      <c r="AD7" s="5" t="s">
        <v>480</v>
      </c>
      <c r="AI7" s="5" t="s">
        <v>482</v>
      </c>
      <c r="AM7" s="5" t="s">
        <v>483</v>
      </c>
    </row>
    <row r="8" spans="1:42" ht="14.4" x14ac:dyDescent="0.3">
      <c r="A8" s="5">
        <v>2</v>
      </c>
      <c r="B8" s="5" t="s">
        <v>484</v>
      </c>
      <c r="C8" s="5" t="s">
        <v>460</v>
      </c>
      <c r="D8" s="5" t="s">
        <v>485</v>
      </c>
      <c r="F8" s="5" t="s">
        <v>486</v>
      </c>
      <c r="G8" s="5" t="s">
        <v>487</v>
      </c>
      <c r="H8" s="5" t="s">
        <v>488</v>
      </c>
      <c r="I8" s="5" t="s">
        <v>490</v>
      </c>
      <c r="J8" s="5" t="s">
        <v>491</v>
      </c>
      <c r="K8" s="5" t="s">
        <v>466</v>
      </c>
      <c r="L8" s="5">
        <f t="shared" si="1"/>
        <v>9</v>
      </c>
      <c r="M8" s="5">
        <v>1</v>
      </c>
      <c r="N8" s="5">
        <v>3</v>
      </c>
      <c r="O8" s="5">
        <v>5</v>
      </c>
      <c r="Q8" s="5" t="s">
        <v>470</v>
      </c>
      <c r="R8" s="5" t="s">
        <v>493</v>
      </c>
      <c r="S8" s="5">
        <v>70170101</v>
      </c>
      <c r="T8" s="5" t="s">
        <v>494</v>
      </c>
      <c r="U8" s="5">
        <v>20000</v>
      </c>
      <c r="V8" s="5">
        <v>9700</v>
      </c>
      <c r="W8" s="5" t="s">
        <v>474</v>
      </c>
      <c r="X8" s="6">
        <v>46082</v>
      </c>
      <c r="Y8" s="6">
        <v>46111</v>
      </c>
      <c r="Z8" s="6">
        <v>46082</v>
      </c>
      <c r="AA8" s="6">
        <v>46111</v>
      </c>
      <c r="AB8" s="5" t="s">
        <v>478</v>
      </c>
      <c r="AC8" s="5" t="s">
        <v>478</v>
      </c>
      <c r="AD8" s="5" t="s">
        <v>496</v>
      </c>
      <c r="AE8" s="5" t="s">
        <v>497</v>
      </c>
      <c r="AF8" s="11">
        <v>46063</v>
      </c>
      <c r="AG8" s="5" t="s">
        <v>498</v>
      </c>
      <c r="AH8" s="11">
        <v>46086</v>
      </c>
      <c r="AI8" s="5" t="s">
        <v>499</v>
      </c>
      <c r="AJ8" s="5" t="s">
        <v>500</v>
      </c>
      <c r="AK8" s="11">
        <v>46055</v>
      </c>
      <c r="AL8" s="5" t="s">
        <v>501</v>
      </c>
    </row>
    <row r="9" spans="1:42" ht="14.4" x14ac:dyDescent="0.3">
      <c r="A9" s="5">
        <v>3</v>
      </c>
      <c r="B9" s="5" t="s">
        <v>503</v>
      </c>
      <c r="C9" s="5" t="s">
        <v>460</v>
      </c>
      <c r="D9" s="5" t="s">
        <v>504</v>
      </c>
      <c r="H9" s="5" t="s">
        <v>506</v>
      </c>
      <c r="I9" s="5" t="s">
        <v>507</v>
      </c>
      <c r="J9" s="5" t="s">
        <v>508</v>
      </c>
      <c r="K9" s="5" t="s">
        <v>466</v>
      </c>
      <c r="L9" s="5">
        <f t="shared" si="1"/>
        <v>10</v>
      </c>
      <c r="M9" s="5">
        <v>4</v>
      </c>
      <c r="N9" s="5">
        <v>2</v>
      </c>
      <c r="O9" s="5">
        <v>4</v>
      </c>
      <c r="Q9" s="5" t="s">
        <v>470</v>
      </c>
      <c r="R9" s="5" t="s">
        <v>510</v>
      </c>
      <c r="S9" s="5">
        <v>70180103</v>
      </c>
      <c r="T9" s="5" t="s">
        <v>511</v>
      </c>
      <c r="U9" s="5">
        <v>35000</v>
      </c>
      <c r="W9" s="5" t="s">
        <v>512</v>
      </c>
      <c r="X9" s="6">
        <v>46174</v>
      </c>
      <c r="Y9" s="6">
        <v>46295</v>
      </c>
      <c r="Z9" s="10"/>
      <c r="AA9" s="10"/>
      <c r="AB9" s="5" t="s">
        <v>514</v>
      </c>
      <c r="AD9" s="5" t="s">
        <v>14</v>
      </c>
      <c r="AE9" s="5" t="s">
        <v>515</v>
      </c>
      <c r="AI9" s="5" t="s">
        <v>517</v>
      </c>
      <c r="AJ9" s="5" t="s">
        <v>518</v>
      </c>
      <c r="AK9" s="11">
        <v>46055</v>
      </c>
      <c r="AL9" s="5" t="s">
        <v>501</v>
      </c>
      <c r="AM9" s="5" t="s">
        <v>519</v>
      </c>
    </row>
    <row r="10" spans="1:42" ht="14.4" x14ac:dyDescent="0.3">
      <c r="A10" s="5">
        <v>4</v>
      </c>
      <c r="B10" s="5" t="s">
        <v>520</v>
      </c>
      <c r="C10" s="5" t="s">
        <v>460</v>
      </c>
      <c r="D10" s="5" t="s">
        <v>521</v>
      </c>
      <c r="H10" s="5" t="s">
        <v>523</v>
      </c>
      <c r="I10" s="5" t="s">
        <v>524</v>
      </c>
      <c r="J10" s="5" t="s">
        <v>525</v>
      </c>
      <c r="K10" s="5" t="s">
        <v>466</v>
      </c>
      <c r="L10" s="5">
        <f t="shared" si="1"/>
        <v>13</v>
      </c>
      <c r="M10" s="5">
        <v>3</v>
      </c>
      <c r="N10" s="5">
        <v>5</v>
      </c>
      <c r="O10" s="5">
        <v>5</v>
      </c>
      <c r="P10" s="5" t="s">
        <v>526</v>
      </c>
      <c r="Q10" s="5" t="s">
        <v>470</v>
      </c>
      <c r="R10" s="5" t="s">
        <v>527</v>
      </c>
      <c r="S10" s="5">
        <v>10220111</v>
      </c>
      <c r="T10" s="5" t="s">
        <v>528</v>
      </c>
      <c r="U10" s="5">
        <v>70000</v>
      </c>
      <c r="W10" s="5" t="s">
        <v>512</v>
      </c>
      <c r="X10" s="6">
        <v>46235</v>
      </c>
      <c r="Y10" s="6">
        <v>46356</v>
      </c>
      <c r="Z10" s="10"/>
      <c r="AA10" s="10"/>
      <c r="AB10" s="5" t="s">
        <v>531</v>
      </c>
      <c r="AD10" s="5" t="s">
        <v>480</v>
      </c>
    </row>
    <row r="11" spans="1:42" ht="14.4" x14ac:dyDescent="0.3">
      <c r="A11" s="5">
        <v>5</v>
      </c>
      <c r="B11" s="5" t="s">
        <v>532</v>
      </c>
      <c r="C11" s="5" t="s">
        <v>460</v>
      </c>
      <c r="D11" s="5" t="s">
        <v>533</v>
      </c>
      <c r="F11" s="5" t="s">
        <v>534</v>
      </c>
      <c r="G11" s="5" t="s">
        <v>535</v>
      </c>
      <c r="H11" s="5" t="s">
        <v>536</v>
      </c>
      <c r="I11" s="5" t="s">
        <v>537</v>
      </c>
      <c r="Q11" s="5" t="s">
        <v>470</v>
      </c>
      <c r="R11" s="5" t="s">
        <v>538</v>
      </c>
      <c r="S11" s="5">
        <v>70150101</v>
      </c>
      <c r="T11" s="5" t="s">
        <v>540</v>
      </c>
      <c r="U11" s="5">
        <v>15000</v>
      </c>
      <c r="V11" s="5">
        <v>11085</v>
      </c>
      <c r="W11" s="5" t="s">
        <v>474</v>
      </c>
      <c r="X11" s="6">
        <v>46082</v>
      </c>
      <c r="Y11" s="6">
        <v>46082</v>
      </c>
      <c r="Z11" s="6">
        <v>46082</v>
      </c>
      <c r="AA11" s="6">
        <v>46111</v>
      </c>
      <c r="AB11" s="5" t="s">
        <v>478</v>
      </c>
      <c r="AC11" s="5" t="s">
        <v>478</v>
      </c>
      <c r="AD11" s="5" t="s">
        <v>542</v>
      </c>
      <c r="AE11" s="5" t="s">
        <v>543</v>
      </c>
      <c r="AF11" s="11">
        <v>46098</v>
      </c>
      <c r="AG11" s="5" t="s">
        <v>544</v>
      </c>
      <c r="AH11" s="11">
        <v>46098</v>
      </c>
      <c r="AI11" s="5" t="s">
        <v>545</v>
      </c>
      <c r="AJ11" s="5" t="s">
        <v>546</v>
      </c>
      <c r="AK11" s="11">
        <v>46055</v>
      </c>
      <c r="AL11" s="5" t="s">
        <v>501</v>
      </c>
      <c r="AM11" s="5" t="s">
        <v>547</v>
      </c>
    </row>
    <row r="12" spans="1:42" ht="14.4" x14ac:dyDescent="0.3">
      <c r="A12" s="5">
        <v>6</v>
      </c>
      <c r="B12" s="5" t="s">
        <v>549</v>
      </c>
      <c r="C12" s="5" t="s">
        <v>460</v>
      </c>
      <c r="D12" s="5" t="s">
        <v>550</v>
      </c>
      <c r="F12" s="5" t="s">
        <v>551</v>
      </c>
      <c r="G12" s="5" t="s">
        <v>552</v>
      </c>
      <c r="H12" s="5" t="s">
        <v>553</v>
      </c>
      <c r="I12" s="5" t="s">
        <v>554</v>
      </c>
      <c r="J12" s="5" t="s">
        <v>555</v>
      </c>
      <c r="K12" s="5" t="s">
        <v>466</v>
      </c>
      <c r="L12" s="5">
        <f t="shared" ref="L12:L20" si="2">SUM(M12:O12)</f>
        <v>8</v>
      </c>
      <c r="M12" s="5">
        <v>2</v>
      </c>
      <c r="N12" s="5">
        <v>5</v>
      </c>
      <c r="O12" s="5">
        <v>1</v>
      </c>
      <c r="Q12" s="5" t="s">
        <v>470</v>
      </c>
      <c r="R12" s="5" t="s">
        <v>559</v>
      </c>
      <c r="S12" s="5">
        <v>10110204</v>
      </c>
      <c r="T12" s="5" t="s">
        <v>561</v>
      </c>
      <c r="U12" s="5">
        <v>26000</v>
      </c>
      <c r="V12" s="5">
        <v>16374.52</v>
      </c>
      <c r="W12" s="5" t="s">
        <v>562</v>
      </c>
      <c r="X12" s="6">
        <v>46174</v>
      </c>
      <c r="Y12" s="6">
        <v>46295</v>
      </c>
      <c r="Z12" s="6">
        <v>46132</v>
      </c>
      <c r="AA12" s="10"/>
      <c r="AB12" s="5" t="s">
        <v>514</v>
      </c>
      <c r="AD12" s="5" t="s">
        <v>496</v>
      </c>
      <c r="AE12" s="5" t="s">
        <v>563</v>
      </c>
      <c r="AF12" s="11">
        <v>46119</v>
      </c>
      <c r="AG12" s="5" t="s">
        <v>564</v>
      </c>
      <c r="AH12" s="5" t="s">
        <v>565</v>
      </c>
      <c r="AI12" s="5" t="s">
        <v>566</v>
      </c>
      <c r="AJ12" s="5" t="s">
        <v>567</v>
      </c>
      <c r="AK12" s="11">
        <v>46055</v>
      </c>
      <c r="AL12" s="5" t="s">
        <v>501</v>
      </c>
      <c r="AM12" s="5" t="s">
        <v>568</v>
      </c>
    </row>
    <row r="13" spans="1:42" ht="14.4" x14ac:dyDescent="0.3">
      <c r="A13" s="5">
        <v>7</v>
      </c>
      <c r="B13" s="5" t="s">
        <v>569</v>
      </c>
      <c r="C13" s="5" t="s">
        <v>460</v>
      </c>
      <c r="D13" s="5" t="s">
        <v>550</v>
      </c>
      <c r="F13" s="5" t="s">
        <v>551</v>
      </c>
      <c r="G13" s="5" t="s">
        <v>552</v>
      </c>
      <c r="H13" s="5" t="s">
        <v>571</v>
      </c>
      <c r="I13" s="5" t="s">
        <v>572</v>
      </c>
      <c r="J13" s="5" t="s">
        <v>555</v>
      </c>
      <c r="K13" s="5" t="s">
        <v>466</v>
      </c>
      <c r="L13" s="5">
        <f t="shared" si="2"/>
        <v>11</v>
      </c>
      <c r="M13" s="5">
        <v>1</v>
      </c>
      <c r="N13" s="5">
        <v>5</v>
      </c>
      <c r="O13" s="5">
        <v>5</v>
      </c>
      <c r="Q13" s="5" t="s">
        <v>470</v>
      </c>
      <c r="R13" s="5" t="s">
        <v>559</v>
      </c>
      <c r="S13" s="5">
        <v>10110204</v>
      </c>
      <c r="T13" s="5" t="s">
        <v>561</v>
      </c>
      <c r="U13" s="5">
        <v>87457.3</v>
      </c>
      <c r="V13" s="5">
        <v>84268.51</v>
      </c>
      <c r="W13" s="5" t="s">
        <v>512</v>
      </c>
      <c r="X13" s="6">
        <v>46174</v>
      </c>
      <c r="Y13" s="6">
        <v>46295</v>
      </c>
      <c r="Z13" s="6">
        <v>46193</v>
      </c>
      <c r="AA13" s="10"/>
      <c r="AB13" s="5" t="s">
        <v>514</v>
      </c>
      <c r="AD13" s="5" t="s">
        <v>496</v>
      </c>
      <c r="AE13" s="5" t="s">
        <v>575</v>
      </c>
      <c r="AF13" s="11">
        <v>46063</v>
      </c>
      <c r="AG13" s="5" t="s">
        <v>576</v>
      </c>
      <c r="AH13" s="11">
        <v>46175</v>
      </c>
      <c r="AI13" s="5" t="s">
        <v>577</v>
      </c>
      <c r="AJ13" s="5" t="s">
        <v>578</v>
      </c>
      <c r="AK13" s="11">
        <v>46055</v>
      </c>
      <c r="AL13" s="5" t="s">
        <v>501</v>
      </c>
      <c r="AO13" s="5" t="s">
        <v>579</v>
      </c>
    </row>
    <row r="14" spans="1:42" ht="14.4" x14ac:dyDescent="0.3">
      <c r="A14" s="5">
        <v>8</v>
      </c>
      <c r="B14" s="5" t="s">
        <v>581</v>
      </c>
      <c r="C14" s="5" t="s">
        <v>460</v>
      </c>
      <c r="D14" s="5" t="s">
        <v>582</v>
      </c>
      <c r="F14" s="5" t="s">
        <v>583</v>
      </c>
      <c r="G14" s="5" t="s">
        <v>584</v>
      </c>
      <c r="H14" s="5" t="s">
        <v>585</v>
      </c>
      <c r="I14" s="5" t="s">
        <v>586</v>
      </c>
      <c r="J14" s="5" t="s">
        <v>587</v>
      </c>
      <c r="K14" s="5" t="s">
        <v>466</v>
      </c>
      <c r="L14" s="5">
        <f t="shared" si="2"/>
        <v>9</v>
      </c>
      <c r="M14" s="5">
        <v>3</v>
      </c>
      <c r="N14" s="5">
        <v>5</v>
      </c>
      <c r="O14" s="5">
        <v>1</v>
      </c>
      <c r="Q14" s="5" t="s">
        <v>470</v>
      </c>
      <c r="R14" s="5" t="s">
        <v>588</v>
      </c>
      <c r="S14" s="5">
        <v>10220108</v>
      </c>
      <c r="T14" s="5" t="s">
        <v>590</v>
      </c>
      <c r="U14" s="5">
        <v>71200</v>
      </c>
      <c r="V14" s="5">
        <v>71200</v>
      </c>
      <c r="W14" s="5" t="s">
        <v>474</v>
      </c>
      <c r="X14" s="6">
        <v>46082</v>
      </c>
      <c r="Y14" s="6">
        <v>46082</v>
      </c>
      <c r="Z14" s="6">
        <v>46082</v>
      </c>
      <c r="AA14" s="6">
        <v>46111</v>
      </c>
      <c r="AB14" s="5" t="s">
        <v>478</v>
      </c>
      <c r="AC14" s="5" t="s">
        <v>478</v>
      </c>
      <c r="AD14" s="5" t="s">
        <v>496</v>
      </c>
      <c r="AE14" s="5" t="s">
        <v>592</v>
      </c>
      <c r="AF14" s="11">
        <v>46060</v>
      </c>
      <c r="AG14" s="5" t="s">
        <v>593</v>
      </c>
      <c r="AH14" s="11">
        <v>46077</v>
      </c>
      <c r="AI14" s="5" t="s">
        <v>594</v>
      </c>
      <c r="AJ14" s="5" t="s">
        <v>595</v>
      </c>
      <c r="AK14" s="11">
        <v>46055</v>
      </c>
      <c r="AL14" s="5" t="s">
        <v>501</v>
      </c>
      <c r="AO14" s="5" t="s">
        <v>596</v>
      </c>
    </row>
    <row r="15" spans="1:42" ht="14.4" x14ac:dyDescent="0.3">
      <c r="A15" s="5">
        <v>9</v>
      </c>
      <c r="B15" s="5" t="s">
        <v>598</v>
      </c>
      <c r="C15" s="5" t="s">
        <v>460</v>
      </c>
      <c r="D15" s="5" t="s">
        <v>582</v>
      </c>
      <c r="F15" s="5" t="s">
        <v>583</v>
      </c>
      <c r="G15" s="5" t="s">
        <v>584</v>
      </c>
      <c r="H15" s="5" t="s">
        <v>585</v>
      </c>
      <c r="I15" s="5" t="s">
        <v>586</v>
      </c>
      <c r="K15" s="5" t="s">
        <v>466</v>
      </c>
      <c r="L15" s="5">
        <f t="shared" si="2"/>
        <v>9</v>
      </c>
      <c r="M15" s="5">
        <v>3</v>
      </c>
      <c r="N15" s="5">
        <v>5</v>
      </c>
      <c r="O15" s="5">
        <v>1</v>
      </c>
      <c r="Q15" s="5" t="s">
        <v>470</v>
      </c>
      <c r="R15" s="5" t="s">
        <v>527</v>
      </c>
      <c r="S15" s="5" t="s">
        <v>599</v>
      </c>
      <c r="T15" s="5" t="s">
        <v>528</v>
      </c>
      <c r="U15" s="5">
        <v>130000</v>
      </c>
      <c r="V15" s="5">
        <v>144753.79</v>
      </c>
      <c r="W15" s="5" t="s">
        <v>474</v>
      </c>
      <c r="X15" s="6">
        <v>46082</v>
      </c>
      <c r="Y15" s="6">
        <v>46082</v>
      </c>
      <c r="Z15" s="6">
        <v>46082</v>
      </c>
      <c r="AA15" s="6">
        <v>46111</v>
      </c>
      <c r="AB15" s="5" t="s">
        <v>478</v>
      </c>
      <c r="AC15" s="5" t="s">
        <v>478</v>
      </c>
      <c r="AD15" s="5" t="s">
        <v>496</v>
      </c>
      <c r="AE15" s="5" t="s">
        <v>602</v>
      </c>
      <c r="AF15" s="11">
        <v>46060</v>
      </c>
      <c r="AG15" s="5" t="s">
        <v>603</v>
      </c>
      <c r="AH15" s="11">
        <v>46091</v>
      </c>
      <c r="AI15" s="5" t="s">
        <v>604</v>
      </c>
      <c r="AJ15" s="5" t="s">
        <v>605</v>
      </c>
      <c r="AK15" s="11">
        <v>46055</v>
      </c>
      <c r="AL15" s="5" t="s">
        <v>501</v>
      </c>
    </row>
    <row r="16" spans="1:42" ht="14.4" x14ac:dyDescent="0.3">
      <c r="A16" s="5">
        <v>10</v>
      </c>
      <c r="B16" s="5" t="s">
        <v>606</v>
      </c>
      <c r="C16" s="5" t="s">
        <v>460</v>
      </c>
      <c r="D16" s="5" t="s">
        <v>607</v>
      </c>
      <c r="H16" s="5" t="s">
        <v>610</v>
      </c>
      <c r="I16" s="5" t="s">
        <v>611</v>
      </c>
      <c r="J16" s="5" t="s">
        <v>612</v>
      </c>
      <c r="K16" s="5" t="s">
        <v>466</v>
      </c>
      <c r="L16" s="5">
        <f t="shared" si="2"/>
        <v>10</v>
      </c>
      <c r="M16" s="5">
        <v>4</v>
      </c>
      <c r="N16" s="5">
        <v>5</v>
      </c>
      <c r="O16" s="5">
        <v>1</v>
      </c>
      <c r="Q16" s="5" t="s">
        <v>470</v>
      </c>
      <c r="R16" s="5" t="s">
        <v>559</v>
      </c>
      <c r="S16" s="5">
        <v>10110201</v>
      </c>
      <c r="T16" s="5" t="s">
        <v>614</v>
      </c>
      <c r="U16" s="5">
        <v>30000</v>
      </c>
      <c r="V16" s="5">
        <v>14355.5</v>
      </c>
      <c r="W16" s="5" t="s">
        <v>512</v>
      </c>
      <c r="X16" s="6">
        <v>46082</v>
      </c>
      <c r="Y16" s="6">
        <v>46082</v>
      </c>
      <c r="Z16" s="6">
        <v>46082</v>
      </c>
      <c r="AA16" s="6">
        <v>46111</v>
      </c>
      <c r="AB16" s="5" t="s">
        <v>478</v>
      </c>
      <c r="AC16" s="5" t="s">
        <v>478</v>
      </c>
      <c r="AD16" s="5" t="s">
        <v>496</v>
      </c>
      <c r="AE16" s="5" t="s">
        <v>616</v>
      </c>
      <c r="AF16" s="11">
        <v>46073</v>
      </c>
      <c r="AG16" s="5" t="s">
        <v>617</v>
      </c>
      <c r="AH16" s="11">
        <v>46086</v>
      </c>
      <c r="AI16" s="5" t="s">
        <v>618</v>
      </c>
      <c r="AJ16" s="5" t="s">
        <v>619</v>
      </c>
      <c r="AK16" s="11">
        <v>46055</v>
      </c>
      <c r="AL16" s="5" t="s">
        <v>501</v>
      </c>
      <c r="AM16" s="5" t="s">
        <v>620</v>
      </c>
    </row>
    <row r="17" spans="1:41" ht="14.4" x14ac:dyDescent="0.3">
      <c r="A17" s="5">
        <v>11</v>
      </c>
      <c r="B17" s="5" t="s">
        <v>621</v>
      </c>
      <c r="C17" s="5" t="s">
        <v>460</v>
      </c>
      <c r="D17" s="5" t="s">
        <v>550</v>
      </c>
      <c r="F17" s="5" t="s">
        <v>551</v>
      </c>
      <c r="G17" s="5" t="s">
        <v>552</v>
      </c>
      <c r="H17" s="5" t="s">
        <v>622</v>
      </c>
      <c r="I17" s="5" t="s">
        <v>624</v>
      </c>
      <c r="J17" s="5" t="s">
        <v>625</v>
      </c>
      <c r="K17" s="5" t="s">
        <v>466</v>
      </c>
      <c r="L17" s="5">
        <f t="shared" si="2"/>
        <v>9</v>
      </c>
      <c r="M17" s="5">
        <v>3</v>
      </c>
      <c r="N17" s="5">
        <v>5</v>
      </c>
      <c r="O17" s="5">
        <v>1</v>
      </c>
      <c r="Q17" s="5" t="s">
        <v>470</v>
      </c>
      <c r="R17" s="5" t="s">
        <v>559</v>
      </c>
      <c r="S17" s="5">
        <v>10110204</v>
      </c>
      <c r="T17" s="5" t="s">
        <v>561</v>
      </c>
      <c r="U17" s="5">
        <v>258000</v>
      </c>
      <c r="V17" s="5">
        <v>156958.9</v>
      </c>
      <c r="W17" s="5" t="s">
        <v>474</v>
      </c>
      <c r="X17" s="6">
        <v>46174</v>
      </c>
      <c r="Y17" s="6">
        <v>46295</v>
      </c>
      <c r="Z17" s="6">
        <v>46132</v>
      </c>
      <c r="AA17" s="10"/>
      <c r="AB17" s="5" t="s">
        <v>514</v>
      </c>
      <c r="AD17" s="5" t="s">
        <v>496</v>
      </c>
      <c r="AE17" s="5" t="s">
        <v>629</v>
      </c>
      <c r="AF17" s="11">
        <v>46060</v>
      </c>
      <c r="AG17" s="5" t="s">
        <v>630</v>
      </c>
      <c r="AH17" s="11">
        <v>46100</v>
      </c>
      <c r="AI17" s="5" t="s">
        <v>631</v>
      </c>
      <c r="AJ17" s="5" t="s">
        <v>633</v>
      </c>
      <c r="AK17" s="11">
        <v>46055</v>
      </c>
      <c r="AL17" s="5" t="s">
        <v>501</v>
      </c>
    </row>
    <row r="18" spans="1:41" ht="14.4" x14ac:dyDescent="0.3">
      <c r="A18" s="5">
        <v>12</v>
      </c>
      <c r="B18" s="5" t="s">
        <v>634</v>
      </c>
      <c r="C18" s="5" t="s">
        <v>460</v>
      </c>
      <c r="D18" s="5" t="s">
        <v>550</v>
      </c>
      <c r="F18" s="5" t="s">
        <v>551</v>
      </c>
      <c r="G18" s="5" t="s">
        <v>552</v>
      </c>
      <c r="H18" s="5" t="s">
        <v>635</v>
      </c>
      <c r="I18" s="5" t="s">
        <v>636</v>
      </c>
      <c r="J18" s="5" t="s">
        <v>637</v>
      </c>
      <c r="K18" s="5" t="s">
        <v>466</v>
      </c>
      <c r="L18" s="5">
        <f t="shared" si="2"/>
        <v>11</v>
      </c>
      <c r="M18" s="5">
        <v>5</v>
      </c>
      <c r="N18" s="5">
        <v>5</v>
      </c>
      <c r="O18" s="5">
        <v>1</v>
      </c>
      <c r="Q18" s="5" t="s">
        <v>470</v>
      </c>
      <c r="R18" s="5" t="s">
        <v>588</v>
      </c>
      <c r="S18" s="5">
        <v>10220108</v>
      </c>
      <c r="T18" s="5" t="s">
        <v>590</v>
      </c>
      <c r="U18" s="5">
        <v>32000</v>
      </c>
      <c r="V18" s="5">
        <v>46990.9</v>
      </c>
      <c r="W18" s="5" t="s">
        <v>512</v>
      </c>
      <c r="X18" s="6">
        <v>46174</v>
      </c>
      <c r="Y18" s="6">
        <v>46295</v>
      </c>
      <c r="Z18" s="6">
        <v>46132</v>
      </c>
      <c r="AA18" s="10"/>
      <c r="AB18" s="5" t="s">
        <v>514</v>
      </c>
      <c r="AD18" s="5" t="s">
        <v>496</v>
      </c>
      <c r="AE18" s="5" t="s">
        <v>639</v>
      </c>
      <c r="AF18" s="11">
        <v>46060</v>
      </c>
      <c r="AG18" s="5" t="s">
        <v>641</v>
      </c>
      <c r="AH18" s="11">
        <v>46105</v>
      </c>
      <c r="AI18" s="5" t="s">
        <v>642</v>
      </c>
      <c r="AJ18" s="5" t="s">
        <v>643</v>
      </c>
      <c r="AK18" s="11">
        <v>46055</v>
      </c>
      <c r="AL18" s="5" t="s">
        <v>501</v>
      </c>
    </row>
    <row r="19" spans="1:41" ht="14.4" x14ac:dyDescent="0.3">
      <c r="A19" s="5">
        <v>13</v>
      </c>
      <c r="B19" s="5" t="s">
        <v>644</v>
      </c>
      <c r="C19" s="5" t="s">
        <v>460</v>
      </c>
      <c r="D19" s="5" t="s">
        <v>485</v>
      </c>
      <c r="F19" s="5" t="s">
        <v>486</v>
      </c>
      <c r="G19" s="5" t="s">
        <v>487</v>
      </c>
      <c r="H19" s="5" t="s">
        <v>646</v>
      </c>
      <c r="I19" s="5" t="s">
        <v>647</v>
      </c>
      <c r="J19" s="5">
        <v>6</v>
      </c>
      <c r="K19" s="5" t="s">
        <v>466</v>
      </c>
      <c r="L19" s="5">
        <f t="shared" si="2"/>
        <v>9</v>
      </c>
      <c r="M19" s="5">
        <v>1</v>
      </c>
      <c r="N19" s="5">
        <v>3</v>
      </c>
      <c r="O19" s="5">
        <v>5</v>
      </c>
      <c r="Q19" s="5" t="s">
        <v>470</v>
      </c>
      <c r="R19" s="5" t="s">
        <v>649</v>
      </c>
      <c r="S19" s="5">
        <v>10220106</v>
      </c>
      <c r="T19" s="5" t="s">
        <v>651</v>
      </c>
      <c r="U19" s="5">
        <v>128000</v>
      </c>
      <c r="V19" s="5">
        <v>125982.76</v>
      </c>
      <c r="W19" s="5" t="s">
        <v>474</v>
      </c>
      <c r="X19" s="6">
        <v>46082</v>
      </c>
      <c r="Y19" s="6">
        <v>46082</v>
      </c>
      <c r="Z19" s="6">
        <v>46082</v>
      </c>
      <c r="AA19" s="6">
        <v>46111</v>
      </c>
      <c r="AB19" s="5" t="s">
        <v>478</v>
      </c>
      <c r="AC19" s="5" t="s">
        <v>478</v>
      </c>
      <c r="AD19" s="5" t="s">
        <v>496</v>
      </c>
      <c r="AE19" s="5" t="s">
        <v>653</v>
      </c>
      <c r="AF19" s="11">
        <v>46063</v>
      </c>
      <c r="AG19" s="5" t="s">
        <v>654</v>
      </c>
      <c r="AH19" s="11">
        <v>46087</v>
      </c>
      <c r="AI19" s="5" t="s">
        <v>656</v>
      </c>
      <c r="AJ19" s="5" t="s">
        <v>657</v>
      </c>
      <c r="AK19" s="11">
        <v>46055</v>
      </c>
      <c r="AL19" s="5" t="s">
        <v>501</v>
      </c>
    </row>
    <row r="20" spans="1:41" ht="14.4" x14ac:dyDescent="0.3">
      <c r="A20" s="5">
        <v>14</v>
      </c>
      <c r="B20" s="5" t="s">
        <v>658</v>
      </c>
      <c r="C20" s="5" t="s">
        <v>460</v>
      </c>
      <c r="D20" s="5" t="s">
        <v>461</v>
      </c>
      <c r="H20" s="5" t="s">
        <v>659</v>
      </c>
      <c r="I20" s="5" t="s">
        <v>660</v>
      </c>
      <c r="J20" s="5" t="s">
        <v>661</v>
      </c>
      <c r="K20" s="5" t="s">
        <v>466</v>
      </c>
      <c r="L20" s="5">
        <f t="shared" si="2"/>
        <v>11</v>
      </c>
      <c r="M20" s="5">
        <v>2</v>
      </c>
      <c r="N20" s="5">
        <v>4</v>
      </c>
      <c r="O20" s="5">
        <v>5</v>
      </c>
      <c r="P20" s="5" t="s">
        <v>663</v>
      </c>
      <c r="Q20" s="5" t="s">
        <v>470</v>
      </c>
      <c r="R20" s="5" t="s">
        <v>664</v>
      </c>
      <c r="S20" s="5">
        <v>70160101</v>
      </c>
      <c r="T20" s="5" t="s">
        <v>665</v>
      </c>
      <c r="U20" s="5">
        <v>18000</v>
      </c>
      <c r="W20" s="5" t="s">
        <v>512</v>
      </c>
      <c r="X20" s="6">
        <v>46235</v>
      </c>
      <c r="Y20" s="6">
        <v>46356</v>
      </c>
      <c r="Z20" s="10"/>
      <c r="AA20" s="10"/>
      <c r="AB20" s="5" t="s">
        <v>531</v>
      </c>
      <c r="AD20" s="5" t="s">
        <v>480</v>
      </c>
    </row>
    <row r="21" spans="1:41" ht="15.75" customHeight="1" x14ac:dyDescent="0.3">
      <c r="A21" s="5">
        <v>15</v>
      </c>
      <c r="B21" s="5" t="s">
        <v>669</v>
      </c>
      <c r="C21" s="5" t="s">
        <v>460</v>
      </c>
      <c r="D21" s="5" t="s">
        <v>670</v>
      </c>
      <c r="H21" s="5" t="s">
        <v>671</v>
      </c>
      <c r="Q21" s="5" t="s">
        <v>470</v>
      </c>
      <c r="R21" s="5" t="s">
        <v>510</v>
      </c>
      <c r="S21" s="5">
        <v>70180103</v>
      </c>
      <c r="T21" s="5" t="s">
        <v>511</v>
      </c>
      <c r="U21" s="5">
        <v>45000</v>
      </c>
      <c r="W21" s="5" t="s">
        <v>474</v>
      </c>
      <c r="X21" s="6">
        <v>46235</v>
      </c>
      <c r="Y21" s="6">
        <v>46356</v>
      </c>
      <c r="Z21" s="10"/>
      <c r="AA21" s="10"/>
      <c r="AB21" s="5" t="s">
        <v>531</v>
      </c>
      <c r="AD21" s="5" t="s">
        <v>480</v>
      </c>
    </row>
    <row r="22" spans="1:41" ht="15.75" customHeight="1" x14ac:dyDescent="0.3">
      <c r="A22" s="5">
        <v>16</v>
      </c>
      <c r="B22" s="5" t="s">
        <v>675</v>
      </c>
      <c r="C22" s="5" t="s">
        <v>460</v>
      </c>
      <c r="D22" s="5" t="s">
        <v>676</v>
      </c>
      <c r="H22" s="5" t="s">
        <v>677</v>
      </c>
      <c r="I22" s="5" t="s">
        <v>678</v>
      </c>
      <c r="J22" s="5" t="s">
        <v>679</v>
      </c>
      <c r="K22" s="5" t="s">
        <v>466</v>
      </c>
      <c r="L22" s="5">
        <f t="shared" ref="L22:L23" si="3">SUM(M22:O22)</f>
        <v>9</v>
      </c>
      <c r="M22" s="5">
        <v>4</v>
      </c>
      <c r="N22" s="5">
        <v>1</v>
      </c>
      <c r="O22" s="5">
        <v>4</v>
      </c>
      <c r="Q22" s="5" t="s">
        <v>470</v>
      </c>
      <c r="R22" s="5" t="s">
        <v>684</v>
      </c>
      <c r="S22" s="5">
        <v>70120201</v>
      </c>
      <c r="T22" s="5" t="s">
        <v>686</v>
      </c>
      <c r="U22" s="5">
        <v>6000</v>
      </c>
      <c r="V22" s="5">
        <v>6107.66</v>
      </c>
      <c r="W22" s="5" t="s">
        <v>474</v>
      </c>
      <c r="X22" s="6">
        <v>46174</v>
      </c>
      <c r="Y22" s="6">
        <v>46295</v>
      </c>
      <c r="Z22" s="10"/>
      <c r="AA22" s="10"/>
      <c r="AB22" s="5" t="s">
        <v>514</v>
      </c>
      <c r="AD22" s="5" t="s">
        <v>496</v>
      </c>
      <c r="AE22" s="5" t="s">
        <v>688</v>
      </c>
      <c r="AF22" s="11">
        <v>46060</v>
      </c>
      <c r="AG22" s="5" t="s">
        <v>689</v>
      </c>
      <c r="AI22" s="5" t="s">
        <v>690</v>
      </c>
      <c r="AJ22" s="5" t="s">
        <v>692</v>
      </c>
      <c r="AK22" s="11">
        <v>46055</v>
      </c>
      <c r="AL22" s="5" t="s">
        <v>501</v>
      </c>
      <c r="AM22" s="5" t="s">
        <v>695</v>
      </c>
    </row>
    <row r="23" spans="1:41" ht="15.75" customHeight="1" x14ac:dyDescent="0.3">
      <c r="A23" s="5">
        <v>17</v>
      </c>
      <c r="B23" s="5" t="s">
        <v>696</v>
      </c>
      <c r="C23" s="5" t="s">
        <v>460</v>
      </c>
      <c r="D23" s="5" t="s">
        <v>485</v>
      </c>
      <c r="F23" s="5" t="s">
        <v>486</v>
      </c>
      <c r="G23" s="5" t="s">
        <v>487</v>
      </c>
      <c r="H23" s="5" t="s">
        <v>697</v>
      </c>
      <c r="I23" s="5" t="s">
        <v>698</v>
      </c>
      <c r="J23" s="5" t="s">
        <v>699</v>
      </c>
      <c r="K23" s="5" t="s">
        <v>466</v>
      </c>
      <c r="L23" s="5">
        <f t="shared" si="3"/>
        <v>8</v>
      </c>
      <c r="M23" s="5">
        <v>1</v>
      </c>
      <c r="N23" s="5">
        <v>4</v>
      </c>
      <c r="O23" s="5">
        <v>3</v>
      </c>
      <c r="Q23" s="5" t="s">
        <v>470</v>
      </c>
      <c r="R23" s="5" t="s">
        <v>538</v>
      </c>
      <c r="S23" s="5">
        <v>70150101</v>
      </c>
      <c r="T23" s="5" t="s">
        <v>540</v>
      </c>
      <c r="U23" s="5">
        <v>15000</v>
      </c>
      <c r="V23" s="5">
        <v>6107.66</v>
      </c>
      <c r="W23" s="5" t="s">
        <v>562</v>
      </c>
      <c r="X23" s="6">
        <v>46082</v>
      </c>
      <c r="Y23" s="6">
        <v>46203</v>
      </c>
      <c r="Z23" s="6">
        <v>46082</v>
      </c>
      <c r="AA23" s="6">
        <v>46170</v>
      </c>
      <c r="AB23" s="5" t="s">
        <v>478</v>
      </c>
      <c r="AC23" s="5" t="s">
        <v>478</v>
      </c>
      <c r="AD23" s="5" t="s">
        <v>496</v>
      </c>
      <c r="AE23" s="5" t="s">
        <v>701</v>
      </c>
      <c r="AF23" s="11">
        <v>46063</v>
      </c>
      <c r="AG23" s="5" t="s">
        <v>702</v>
      </c>
      <c r="AH23" s="11">
        <v>46084</v>
      </c>
      <c r="AI23" s="5" t="s">
        <v>704</v>
      </c>
      <c r="AJ23" s="5" t="s">
        <v>705</v>
      </c>
      <c r="AK23" s="11">
        <v>46055</v>
      </c>
      <c r="AL23" s="5" t="s">
        <v>501</v>
      </c>
    </row>
    <row r="24" spans="1:41" ht="15.75" customHeight="1" x14ac:dyDescent="0.3">
      <c r="A24" s="5">
        <v>18</v>
      </c>
      <c r="B24" s="5" t="s">
        <v>706</v>
      </c>
      <c r="C24" s="5" t="s">
        <v>460</v>
      </c>
      <c r="D24" s="5" t="s">
        <v>707</v>
      </c>
      <c r="H24" s="5" t="s">
        <v>708</v>
      </c>
      <c r="J24" s="5" t="s">
        <v>709</v>
      </c>
      <c r="Q24" s="5" t="s">
        <v>470</v>
      </c>
      <c r="R24" s="5" t="s">
        <v>649</v>
      </c>
      <c r="S24" s="5">
        <v>10220106</v>
      </c>
      <c r="T24" s="5" t="s">
        <v>651</v>
      </c>
      <c r="U24" s="5" t="s">
        <v>710</v>
      </c>
      <c r="W24" s="5" t="s">
        <v>474</v>
      </c>
      <c r="X24" s="10"/>
      <c r="Y24" s="10"/>
      <c r="Z24" s="10"/>
      <c r="AA24" s="10"/>
      <c r="AB24" s="5" t="s">
        <v>711</v>
      </c>
      <c r="AD24" s="5" t="s">
        <v>480</v>
      </c>
    </row>
    <row r="25" spans="1:41" ht="15.75" customHeight="1" x14ac:dyDescent="0.3">
      <c r="A25" s="5">
        <v>19</v>
      </c>
      <c r="B25" s="5" t="s">
        <v>713</v>
      </c>
      <c r="C25" s="5" t="s">
        <v>460</v>
      </c>
      <c r="D25" s="5" t="s">
        <v>707</v>
      </c>
      <c r="H25" s="5" t="s">
        <v>708</v>
      </c>
      <c r="J25" s="5" t="s">
        <v>709</v>
      </c>
      <c r="Q25" s="5" t="s">
        <v>470</v>
      </c>
      <c r="R25" s="5" t="s">
        <v>527</v>
      </c>
      <c r="S25" s="5">
        <v>10220111</v>
      </c>
      <c r="T25" s="5" t="s">
        <v>528</v>
      </c>
      <c r="U25" s="5">
        <v>24250</v>
      </c>
      <c r="W25" s="5" t="s">
        <v>474</v>
      </c>
      <c r="X25" s="6">
        <v>46235</v>
      </c>
      <c r="Y25" s="6">
        <v>46356</v>
      </c>
      <c r="Z25" s="10"/>
      <c r="AA25" s="10"/>
      <c r="AB25" s="5" t="s">
        <v>531</v>
      </c>
      <c r="AD25" s="5" t="s">
        <v>480</v>
      </c>
    </row>
    <row r="26" spans="1:41" ht="15.75" customHeight="1" x14ac:dyDescent="0.3">
      <c r="A26" s="5">
        <v>20</v>
      </c>
      <c r="B26" s="5" t="s">
        <v>714</v>
      </c>
      <c r="C26" s="5" t="s">
        <v>460</v>
      </c>
      <c r="D26" s="5" t="s">
        <v>707</v>
      </c>
      <c r="H26" s="5" t="s">
        <v>708</v>
      </c>
      <c r="J26" s="5" t="s">
        <v>709</v>
      </c>
      <c r="Q26" s="5" t="s">
        <v>470</v>
      </c>
      <c r="R26" s="5" t="s">
        <v>559</v>
      </c>
      <c r="S26" s="5">
        <v>10110102</v>
      </c>
      <c r="T26" s="5" t="s">
        <v>716</v>
      </c>
      <c r="U26" s="5">
        <v>24250</v>
      </c>
      <c r="W26" s="5" t="s">
        <v>474</v>
      </c>
      <c r="X26" s="6">
        <v>46235</v>
      </c>
      <c r="Y26" s="6">
        <v>46356</v>
      </c>
      <c r="Z26" s="10"/>
      <c r="AA26" s="10"/>
      <c r="AB26" s="5" t="s">
        <v>531</v>
      </c>
      <c r="AD26" s="5" t="s">
        <v>480</v>
      </c>
      <c r="AM26" s="5" t="s">
        <v>717</v>
      </c>
    </row>
    <row r="27" spans="1:41" ht="15.75" customHeight="1" x14ac:dyDescent="0.3">
      <c r="A27" s="5">
        <v>21</v>
      </c>
      <c r="B27" s="5" t="s">
        <v>718</v>
      </c>
      <c r="C27" s="5" t="s">
        <v>460</v>
      </c>
      <c r="D27" s="5" t="s">
        <v>707</v>
      </c>
      <c r="H27" s="5" t="s">
        <v>708</v>
      </c>
      <c r="I27" s="5" t="s">
        <v>719</v>
      </c>
      <c r="J27" s="5" t="s">
        <v>709</v>
      </c>
      <c r="K27" s="5" t="s">
        <v>466</v>
      </c>
      <c r="L27" s="5">
        <f t="shared" ref="L27:L30" si="4">SUM(M27:O27)</f>
        <v>9</v>
      </c>
      <c r="M27" s="5">
        <v>2</v>
      </c>
      <c r="N27" s="5">
        <v>5</v>
      </c>
      <c r="O27" s="5">
        <v>2</v>
      </c>
      <c r="P27" s="5" t="s">
        <v>720</v>
      </c>
      <c r="Q27" s="5" t="s">
        <v>470</v>
      </c>
      <c r="R27" s="5" t="s">
        <v>559</v>
      </c>
      <c r="S27" s="5">
        <v>10110204</v>
      </c>
      <c r="T27" s="5" t="s">
        <v>561</v>
      </c>
      <c r="U27" s="5">
        <v>24250</v>
      </c>
      <c r="W27" s="5" t="s">
        <v>474</v>
      </c>
      <c r="X27" s="6">
        <v>46235</v>
      </c>
      <c r="Y27" s="6">
        <v>46356</v>
      </c>
      <c r="Z27" s="10"/>
      <c r="AA27" s="10"/>
      <c r="AB27" s="5" t="s">
        <v>531</v>
      </c>
      <c r="AD27" s="5" t="s">
        <v>480</v>
      </c>
    </row>
    <row r="28" spans="1:41" ht="15.75" customHeight="1" x14ac:dyDescent="0.3">
      <c r="A28" s="5">
        <v>22</v>
      </c>
      <c r="B28" s="5" t="s">
        <v>722</v>
      </c>
      <c r="C28" s="5" t="s">
        <v>460</v>
      </c>
      <c r="D28" s="5" t="s">
        <v>607</v>
      </c>
      <c r="H28" s="5" t="s">
        <v>723</v>
      </c>
      <c r="I28" s="5" t="s">
        <v>724</v>
      </c>
      <c r="J28" s="5" t="s">
        <v>725</v>
      </c>
      <c r="K28" s="5" t="s">
        <v>466</v>
      </c>
      <c r="L28" s="5">
        <f t="shared" si="4"/>
        <v>12</v>
      </c>
      <c r="M28" s="5">
        <v>3</v>
      </c>
      <c r="N28" s="5">
        <v>4</v>
      </c>
      <c r="O28" s="5">
        <v>5</v>
      </c>
      <c r="Q28" s="5" t="s">
        <v>470</v>
      </c>
      <c r="R28" s="5" t="s">
        <v>726</v>
      </c>
      <c r="S28" s="5">
        <v>70190101</v>
      </c>
      <c r="T28" s="5" t="s">
        <v>727</v>
      </c>
      <c r="U28" s="5">
        <v>13000</v>
      </c>
      <c r="V28" s="5">
        <v>13919.28</v>
      </c>
      <c r="W28" s="5" t="s">
        <v>512</v>
      </c>
      <c r="X28" s="6">
        <v>46082</v>
      </c>
      <c r="Y28" s="6">
        <v>46111</v>
      </c>
      <c r="Z28" s="6">
        <v>46082</v>
      </c>
      <c r="AA28" s="6">
        <v>46111</v>
      </c>
      <c r="AB28" s="5" t="s">
        <v>478</v>
      </c>
      <c r="AC28" s="5" t="s">
        <v>478</v>
      </c>
      <c r="AD28" s="5" t="s">
        <v>496</v>
      </c>
      <c r="AE28" s="5" t="s">
        <v>728</v>
      </c>
      <c r="AF28" s="11">
        <v>46081</v>
      </c>
      <c r="AG28" s="5" t="s">
        <v>729</v>
      </c>
      <c r="AH28" s="11">
        <v>46097</v>
      </c>
      <c r="AI28" s="5" t="s">
        <v>730</v>
      </c>
      <c r="AJ28" s="5" t="s">
        <v>731</v>
      </c>
      <c r="AK28" s="11">
        <v>46055</v>
      </c>
      <c r="AL28" s="5" t="s">
        <v>501</v>
      </c>
    </row>
    <row r="29" spans="1:41" ht="15.75" customHeight="1" x14ac:dyDescent="0.3">
      <c r="A29" s="5">
        <v>23</v>
      </c>
      <c r="B29" s="5" t="s">
        <v>733</v>
      </c>
      <c r="C29" s="5" t="s">
        <v>460</v>
      </c>
      <c r="D29" s="5" t="s">
        <v>734</v>
      </c>
      <c r="H29" s="5" t="s">
        <v>735</v>
      </c>
      <c r="I29" s="5" t="s">
        <v>736</v>
      </c>
      <c r="J29" s="5">
        <v>3</v>
      </c>
      <c r="K29" s="5" t="s">
        <v>466</v>
      </c>
      <c r="L29" s="5">
        <f t="shared" si="4"/>
        <v>9</v>
      </c>
      <c r="M29" s="5">
        <v>1</v>
      </c>
      <c r="N29" s="5">
        <v>5</v>
      </c>
      <c r="O29" s="5">
        <v>3</v>
      </c>
      <c r="P29" s="5" t="s">
        <v>469</v>
      </c>
      <c r="Q29" s="5" t="s">
        <v>470</v>
      </c>
      <c r="R29" s="5" t="s">
        <v>649</v>
      </c>
      <c r="S29" s="5">
        <v>10220106</v>
      </c>
      <c r="T29" s="5" t="s">
        <v>651</v>
      </c>
      <c r="U29" s="5">
        <v>140000</v>
      </c>
      <c r="W29" s="5" t="s">
        <v>474</v>
      </c>
      <c r="X29" s="6">
        <v>46235</v>
      </c>
      <c r="Y29" s="6">
        <v>46356</v>
      </c>
      <c r="Z29" s="10"/>
      <c r="AA29" s="10"/>
      <c r="AB29" s="5" t="s">
        <v>531</v>
      </c>
      <c r="AD29" s="5" t="s">
        <v>480</v>
      </c>
      <c r="AM29" s="5" t="s">
        <v>737</v>
      </c>
      <c r="AO29" s="5" t="s">
        <v>738</v>
      </c>
    </row>
    <row r="30" spans="1:41" ht="15.75" customHeight="1" x14ac:dyDescent="0.3">
      <c r="A30" s="5">
        <v>24</v>
      </c>
      <c r="B30" s="5" t="s">
        <v>739</v>
      </c>
      <c r="C30" s="5" t="s">
        <v>460</v>
      </c>
      <c r="D30" s="5" t="s">
        <v>740</v>
      </c>
      <c r="F30" s="5" t="s">
        <v>534</v>
      </c>
      <c r="G30" s="5" t="s">
        <v>535</v>
      </c>
      <c r="H30" s="5" t="s">
        <v>741</v>
      </c>
      <c r="I30" s="5" t="s">
        <v>742</v>
      </c>
      <c r="J30" s="5" t="s">
        <v>743</v>
      </c>
      <c r="K30" s="5" t="s">
        <v>466</v>
      </c>
      <c r="L30" s="5">
        <f t="shared" si="4"/>
        <v>11</v>
      </c>
      <c r="M30" s="5">
        <v>5</v>
      </c>
      <c r="N30" s="5">
        <v>5</v>
      </c>
      <c r="O30" s="5">
        <v>1</v>
      </c>
      <c r="Q30" s="5" t="s">
        <v>470</v>
      </c>
      <c r="R30" s="5" t="s">
        <v>559</v>
      </c>
      <c r="S30" s="5">
        <v>10110204</v>
      </c>
      <c r="T30" s="5" t="s">
        <v>561</v>
      </c>
      <c r="U30" s="5">
        <v>20000</v>
      </c>
      <c r="W30" s="5" t="s">
        <v>512</v>
      </c>
      <c r="X30" s="6">
        <v>46266</v>
      </c>
      <c r="Y30" s="6">
        <v>46326</v>
      </c>
      <c r="Z30" s="10"/>
      <c r="AA30" s="10"/>
      <c r="AB30" s="5" t="s">
        <v>531</v>
      </c>
      <c r="AD30" s="5" t="s">
        <v>542</v>
      </c>
      <c r="AE30" s="5" t="s">
        <v>744</v>
      </c>
      <c r="AF30" s="11">
        <v>46274</v>
      </c>
      <c r="AI30" s="5" t="s">
        <v>745</v>
      </c>
      <c r="AJ30" s="5" t="s">
        <v>746</v>
      </c>
      <c r="AK30" s="11">
        <v>46055</v>
      </c>
      <c r="AL30" s="5" t="s">
        <v>501</v>
      </c>
      <c r="AM30" s="5" t="s">
        <v>747</v>
      </c>
    </row>
    <row r="31" spans="1:41" ht="15.75" customHeight="1" x14ac:dyDescent="0.3">
      <c r="A31" s="5">
        <v>25</v>
      </c>
      <c r="B31" s="5" t="s">
        <v>748</v>
      </c>
      <c r="C31" s="5" t="s">
        <v>460</v>
      </c>
      <c r="D31" s="5" t="s">
        <v>521</v>
      </c>
      <c r="H31" s="5" t="s">
        <v>749</v>
      </c>
      <c r="P31" s="5" t="s">
        <v>750</v>
      </c>
      <c r="Q31" s="5" t="s">
        <v>470</v>
      </c>
      <c r="R31" s="5" t="s">
        <v>493</v>
      </c>
      <c r="S31" s="5">
        <v>70170101</v>
      </c>
      <c r="T31" s="5" t="s">
        <v>494</v>
      </c>
      <c r="U31" s="5">
        <v>80000</v>
      </c>
      <c r="W31" s="5" t="s">
        <v>474</v>
      </c>
      <c r="X31" s="6">
        <v>46235</v>
      </c>
      <c r="Y31" s="6">
        <v>46356</v>
      </c>
      <c r="Z31" s="10"/>
      <c r="AA31" s="10"/>
      <c r="AB31" s="5" t="s">
        <v>531</v>
      </c>
      <c r="AD31" s="5" t="s">
        <v>480</v>
      </c>
    </row>
    <row r="32" spans="1:41" ht="15.75" customHeight="1" x14ac:dyDescent="0.3">
      <c r="A32" s="5">
        <v>26</v>
      </c>
      <c r="B32" s="5" t="s">
        <v>751</v>
      </c>
      <c r="C32" s="5" t="s">
        <v>460</v>
      </c>
      <c r="D32" s="5" t="s">
        <v>521</v>
      </c>
      <c r="H32" s="5" t="s">
        <v>752</v>
      </c>
      <c r="I32" s="5" t="s">
        <v>753</v>
      </c>
      <c r="Q32" s="5" t="s">
        <v>470</v>
      </c>
      <c r="R32" s="5" t="s">
        <v>726</v>
      </c>
      <c r="S32" s="5">
        <v>70190101</v>
      </c>
      <c r="T32" s="5" t="s">
        <v>727</v>
      </c>
      <c r="U32" s="5">
        <v>15000</v>
      </c>
      <c r="W32" s="5" t="s">
        <v>474</v>
      </c>
      <c r="X32" s="6">
        <v>46235</v>
      </c>
      <c r="Y32" s="6">
        <v>46356</v>
      </c>
      <c r="Z32" s="10"/>
      <c r="AA32" s="10"/>
      <c r="AB32" s="5" t="s">
        <v>531</v>
      </c>
      <c r="AD32" s="5" t="s">
        <v>480</v>
      </c>
    </row>
    <row r="33" spans="1:42" ht="15.75" customHeight="1" x14ac:dyDescent="0.3">
      <c r="A33" s="5">
        <v>27</v>
      </c>
      <c r="B33" s="5" t="s">
        <v>754</v>
      </c>
      <c r="C33" s="5" t="s">
        <v>460</v>
      </c>
      <c r="D33" s="5" t="s">
        <v>607</v>
      </c>
      <c r="H33" s="5" t="s">
        <v>755</v>
      </c>
      <c r="I33" s="5" t="s">
        <v>756</v>
      </c>
      <c r="J33" s="5" t="s">
        <v>757</v>
      </c>
      <c r="K33" s="5" t="s">
        <v>466</v>
      </c>
      <c r="L33" s="5">
        <f t="shared" ref="L33:L41" si="5">SUM(M33:O33)</f>
        <v>10</v>
      </c>
      <c r="M33" s="5">
        <v>4</v>
      </c>
      <c r="N33" s="5">
        <v>2</v>
      </c>
      <c r="O33" s="5">
        <v>4</v>
      </c>
      <c r="Q33" s="5" t="s">
        <v>470</v>
      </c>
      <c r="R33" s="5" t="s">
        <v>726</v>
      </c>
      <c r="S33" s="5">
        <v>70190101</v>
      </c>
      <c r="T33" s="5" t="s">
        <v>727</v>
      </c>
      <c r="U33" s="5">
        <v>18000</v>
      </c>
      <c r="V33" s="5">
        <v>12991.8</v>
      </c>
      <c r="W33" s="5" t="s">
        <v>512</v>
      </c>
      <c r="X33" s="6">
        <v>46082</v>
      </c>
      <c r="Y33" s="6">
        <v>46082</v>
      </c>
      <c r="Z33" s="6">
        <v>46082</v>
      </c>
      <c r="AA33" s="6">
        <v>46111</v>
      </c>
      <c r="AB33" s="5" t="s">
        <v>478</v>
      </c>
      <c r="AC33" s="5" t="s">
        <v>478</v>
      </c>
      <c r="AD33" s="5" t="s">
        <v>496</v>
      </c>
      <c r="AE33" s="5" t="s">
        <v>758</v>
      </c>
      <c r="AF33" s="11">
        <v>46081</v>
      </c>
      <c r="AG33" s="5" t="s">
        <v>759</v>
      </c>
      <c r="AH33" s="11">
        <v>46097</v>
      </c>
      <c r="AI33" s="5" t="s">
        <v>760</v>
      </c>
      <c r="AJ33" s="5" t="s">
        <v>761</v>
      </c>
      <c r="AK33" s="11">
        <v>46055</v>
      </c>
      <c r="AL33" s="5" t="s">
        <v>501</v>
      </c>
    </row>
    <row r="34" spans="1:42" ht="15.75" customHeight="1" x14ac:dyDescent="0.3">
      <c r="A34" s="5">
        <v>28</v>
      </c>
      <c r="B34" s="5" t="s">
        <v>762</v>
      </c>
      <c r="C34" s="5" t="s">
        <v>460</v>
      </c>
      <c r="D34" s="5" t="s">
        <v>607</v>
      </c>
      <c r="H34" s="5" t="s">
        <v>763</v>
      </c>
      <c r="I34" s="5" t="s">
        <v>764</v>
      </c>
      <c r="J34" s="5" t="s">
        <v>757</v>
      </c>
      <c r="K34" s="5" t="s">
        <v>466</v>
      </c>
      <c r="L34" s="5">
        <f t="shared" si="5"/>
        <v>10</v>
      </c>
      <c r="M34" s="5">
        <v>4</v>
      </c>
      <c r="N34" s="5">
        <v>2</v>
      </c>
      <c r="O34" s="5">
        <v>4</v>
      </c>
      <c r="Q34" s="5" t="s">
        <v>470</v>
      </c>
      <c r="R34" s="5" t="s">
        <v>726</v>
      </c>
      <c r="S34" s="5">
        <v>70190101</v>
      </c>
      <c r="T34" s="5" t="s">
        <v>727</v>
      </c>
      <c r="U34" s="5">
        <v>10000</v>
      </c>
      <c r="V34" s="5">
        <v>8510.48</v>
      </c>
      <c r="W34" s="5" t="s">
        <v>512</v>
      </c>
      <c r="X34" s="6">
        <v>46082</v>
      </c>
      <c r="Y34" s="6">
        <v>46172</v>
      </c>
      <c r="Z34" s="6">
        <v>46082</v>
      </c>
      <c r="AA34" s="6">
        <v>46172</v>
      </c>
      <c r="AB34" s="5" t="s">
        <v>478</v>
      </c>
      <c r="AC34" s="5" t="s">
        <v>478</v>
      </c>
      <c r="AD34" s="5" t="s">
        <v>496</v>
      </c>
      <c r="AE34" s="5" t="s">
        <v>765</v>
      </c>
      <c r="AF34" s="11">
        <v>46081</v>
      </c>
      <c r="AG34" s="5" t="s">
        <v>766</v>
      </c>
      <c r="AH34" s="11">
        <v>46091</v>
      </c>
      <c r="AI34" s="5" t="s">
        <v>767</v>
      </c>
      <c r="AJ34" s="5" t="s">
        <v>768</v>
      </c>
      <c r="AK34" s="11">
        <v>46055</v>
      </c>
      <c r="AL34" s="5" t="s">
        <v>501</v>
      </c>
    </row>
    <row r="35" spans="1:42" ht="15.75" customHeight="1" x14ac:dyDescent="0.3">
      <c r="A35" s="5">
        <v>29</v>
      </c>
      <c r="B35" s="5" t="s">
        <v>769</v>
      </c>
      <c r="C35" s="5" t="s">
        <v>460</v>
      </c>
      <c r="D35" s="5" t="s">
        <v>770</v>
      </c>
      <c r="H35" s="5" t="s">
        <v>771</v>
      </c>
      <c r="I35" s="5" t="s">
        <v>772</v>
      </c>
      <c r="J35" s="5" t="s">
        <v>773</v>
      </c>
      <c r="K35" s="5" t="s">
        <v>466</v>
      </c>
      <c r="L35" s="5">
        <f t="shared" si="5"/>
        <v>11</v>
      </c>
      <c r="M35" s="5">
        <v>4</v>
      </c>
      <c r="N35" s="5">
        <v>3</v>
      </c>
      <c r="O35" s="5">
        <v>4</v>
      </c>
      <c r="Q35" s="5" t="s">
        <v>470</v>
      </c>
      <c r="R35" s="5" t="s">
        <v>774</v>
      </c>
      <c r="S35" s="5">
        <v>70110101</v>
      </c>
      <c r="T35" s="5" t="s">
        <v>775</v>
      </c>
      <c r="U35" s="5">
        <v>20000</v>
      </c>
      <c r="W35" s="5" t="s">
        <v>512</v>
      </c>
      <c r="X35" s="6">
        <v>46203</v>
      </c>
      <c r="Y35" s="6">
        <v>46325</v>
      </c>
      <c r="Z35" s="10"/>
      <c r="AA35" s="10"/>
      <c r="AB35" s="5" t="s">
        <v>531</v>
      </c>
      <c r="AD35" s="5" t="s">
        <v>776</v>
      </c>
      <c r="AE35" s="5" t="s">
        <v>777</v>
      </c>
      <c r="AF35" s="11">
        <v>46077</v>
      </c>
      <c r="AG35" s="5" t="s">
        <v>689</v>
      </c>
      <c r="AI35" s="5" t="s">
        <v>778</v>
      </c>
      <c r="AJ35" s="5" t="s">
        <v>779</v>
      </c>
      <c r="AK35" s="11">
        <v>46055</v>
      </c>
      <c r="AL35" s="5" t="s">
        <v>501</v>
      </c>
      <c r="AM35" s="5" t="s">
        <v>780</v>
      </c>
      <c r="AP35" s="5" t="s">
        <v>781</v>
      </c>
    </row>
    <row r="36" spans="1:42" ht="15.75" customHeight="1" x14ac:dyDescent="0.3">
      <c r="A36" s="5">
        <v>31</v>
      </c>
      <c r="B36" s="5" t="s">
        <v>782</v>
      </c>
      <c r="C36" s="5" t="s">
        <v>460</v>
      </c>
      <c r="D36" s="5" t="s">
        <v>770</v>
      </c>
      <c r="H36" s="5" t="s">
        <v>771</v>
      </c>
      <c r="I36" s="5" t="s">
        <v>783</v>
      </c>
      <c r="J36" s="5" t="s">
        <v>784</v>
      </c>
      <c r="K36" s="5" t="s">
        <v>466</v>
      </c>
      <c r="L36" s="5">
        <f t="shared" si="5"/>
        <v>11</v>
      </c>
      <c r="M36" s="5">
        <v>4</v>
      </c>
      <c r="N36" s="5">
        <v>3</v>
      </c>
      <c r="O36" s="5">
        <v>4</v>
      </c>
      <c r="Q36" s="5" t="s">
        <v>470</v>
      </c>
      <c r="R36" s="5" t="s">
        <v>684</v>
      </c>
      <c r="S36" s="5">
        <v>70120201</v>
      </c>
      <c r="T36" s="5" t="s">
        <v>686</v>
      </c>
      <c r="U36" s="5">
        <v>21000</v>
      </c>
      <c r="V36" s="5">
        <v>21000</v>
      </c>
      <c r="W36" s="5" t="s">
        <v>512</v>
      </c>
      <c r="X36" s="6">
        <v>46174</v>
      </c>
      <c r="Y36" s="6">
        <v>46264</v>
      </c>
      <c r="Z36" s="10"/>
      <c r="AA36" s="10"/>
      <c r="AB36" s="5" t="s">
        <v>478</v>
      </c>
      <c r="AC36" s="5" t="s">
        <v>531</v>
      </c>
      <c r="AD36" s="5" t="s">
        <v>776</v>
      </c>
      <c r="AE36" s="5" t="s">
        <v>785</v>
      </c>
      <c r="AF36" s="11">
        <v>46225</v>
      </c>
      <c r="AG36" s="5" t="s">
        <v>786</v>
      </c>
      <c r="AH36" s="11">
        <v>46100</v>
      </c>
      <c r="AI36" s="5" t="s">
        <v>787</v>
      </c>
      <c r="AJ36" s="5" t="s">
        <v>788</v>
      </c>
      <c r="AK36" s="11">
        <v>46055</v>
      </c>
      <c r="AL36" s="5" t="s">
        <v>501</v>
      </c>
      <c r="AM36" s="5" t="s">
        <v>789</v>
      </c>
    </row>
    <row r="37" spans="1:42" ht="15.75" customHeight="1" x14ac:dyDescent="0.3">
      <c r="A37" s="5">
        <v>32</v>
      </c>
      <c r="B37" s="5" t="s">
        <v>790</v>
      </c>
      <c r="C37" s="5" t="s">
        <v>460</v>
      </c>
      <c r="D37" s="5" t="s">
        <v>770</v>
      </c>
      <c r="H37" s="5" t="s">
        <v>771</v>
      </c>
      <c r="I37" s="5" t="s">
        <v>791</v>
      </c>
      <c r="J37" s="5" t="s">
        <v>793</v>
      </c>
      <c r="K37" s="5" t="s">
        <v>466</v>
      </c>
      <c r="L37" s="5">
        <f t="shared" si="5"/>
        <v>11</v>
      </c>
      <c r="M37" s="5">
        <v>4</v>
      </c>
      <c r="N37" s="5">
        <v>3</v>
      </c>
      <c r="O37" s="5">
        <v>4</v>
      </c>
      <c r="Q37" s="5" t="s">
        <v>470</v>
      </c>
      <c r="R37" s="5" t="s">
        <v>538</v>
      </c>
      <c r="S37" s="5">
        <v>70150101</v>
      </c>
      <c r="T37" s="5" t="s">
        <v>540</v>
      </c>
      <c r="U37" s="5">
        <v>15800</v>
      </c>
      <c r="V37" s="5">
        <v>15444.22</v>
      </c>
      <c r="W37" s="5" t="s">
        <v>512</v>
      </c>
      <c r="X37" s="6">
        <v>46082</v>
      </c>
      <c r="Y37" s="6">
        <v>46203</v>
      </c>
      <c r="Z37" s="6">
        <v>46082</v>
      </c>
      <c r="AA37" s="6">
        <v>46143</v>
      </c>
      <c r="AB37" s="5" t="s">
        <v>478</v>
      </c>
      <c r="AC37" s="5" t="s">
        <v>531</v>
      </c>
      <c r="AD37" s="5" t="s">
        <v>776</v>
      </c>
      <c r="AE37" s="5" t="s">
        <v>795</v>
      </c>
      <c r="AF37" s="11">
        <v>46079</v>
      </c>
      <c r="AG37" s="5" t="s">
        <v>796</v>
      </c>
      <c r="AH37" s="11">
        <v>46102</v>
      </c>
      <c r="AI37" s="5" t="s">
        <v>797</v>
      </c>
      <c r="AJ37" s="5" t="s">
        <v>798</v>
      </c>
      <c r="AK37" s="11">
        <v>46055</v>
      </c>
      <c r="AL37" s="5" t="s">
        <v>501</v>
      </c>
      <c r="AM37" s="5" t="s">
        <v>799</v>
      </c>
    </row>
    <row r="38" spans="1:42" ht="15.75" customHeight="1" x14ac:dyDescent="0.3">
      <c r="A38" s="5">
        <v>33</v>
      </c>
      <c r="B38" s="5" t="s">
        <v>800</v>
      </c>
      <c r="C38" s="5" t="s">
        <v>460</v>
      </c>
      <c r="D38" s="5" t="s">
        <v>770</v>
      </c>
      <c r="H38" s="5" t="s">
        <v>771</v>
      </c>
      <c r="I38" s="5" t="s">
        <v>801</v>
      </c>
      <c r="J38" s="5" t="s">
        <v>802</v>
      </c>
      <c r="K38" s="5" t="s">
        <v>466</v>
      </c>
      <c r="L38" s="5">
        <f t="shared" si="5"/>
        <v>11</v>
      </c>
      <c r="M38" s="5">
        <v>4</v>
      </c>
      <c r="N38" s="5">
        <v>3</v>
      </c>
      <c r="O38" s="5">
        <v>4</v>
      </c>
      <c r="Q38" s="5" t="s">
        <v>470</v>
      </c>
      <c r="R38" s="5" t="s">
        <v>726</v>
      </c>
      <c r="S38" s="5">
        <v>70190101</v>
      </c>
      <c r="T38" s="5" t="s">
        <v>727</v>
      </c>
      <c r="U38" s="5">
        <v>18000</v>
      </c>
      <c r="V38" s="5">
        <v>16475.75</v>
      </c>
      <c r="W38" s="5" t="s">
        <v>512</v>
      </c>
      <c r="X38" s="6">
        <v>46082</v>
      </c>
      <c r="Y38" s="6">
        <v>46111</v>
      </c>
      <c r="Z38" s="6">
        <v>46082</v>
      </c>
      <c r="AA38" s="6">
        <v>46111</v>
      </c>
      <c r="AB38" s="5" t="s">
        <v>478</v>
      </c>
      <c r="AC38" s="5" t="s">
        <v>478</v>
      </c>
      <c r="AD38" s="5" t="s">
        <v>776</v>
      </c>
      <c r="AE38" s="5" t="s">
        <v>805</v>
      </c>
      <c r="AF38" s="11">
        <v>46073</v>
      </c>
      <c r="AG38" s="5" t="s">
        <v>807</v>
      </c>
      <c r="AH38" s="11">
        <v>46105</v>
      </c>
      <c r="AI38" s="5" t="s">
        <v>808</v>
      </c>
      <c r="AJ38" s="5" t="s">
        <v>809</v>
      </c>
      <c r="AK38" s="11">
        <v>46055</v>
      </c>
      <c r="AL38" s="5" t="s">
        <v>501</v>
      </c>
    </row>
    <row r="39" spans="1:42" ht="15.75" customHeight="1" x14ac:dyDescent="0.3">
      <c r="A39" s="5">
        <v>34</v>
      </c>
      <c r="B39" s="5" t="s">
        <v>812</v>
      </c>
      <c r="C39" s="5" t="s">
        <v>460</v>
      </c>
      <c r="D39" s="5" t="s">
        <v>770</v>
      </c>
      <c r="H39" s="5" t="s">
        <v>771</v>
      </c>
      <c r="I39" s="5" t="s">
        <v>813</v>
      </c>
      <c r="J39" s="5" t="s">
        <v>814</v>
      </c>
      <c r="K39" s="5" t="s">
        <v>466</v>
      </c>
      <c r="L39" s="5">
        <f t="shared" si="5"/>
        <v>11</v>
      </c>
      <c r="M39" s="5">
        <v>4</v>
      </c>
      <c r="N39" s="5">
        <v>3</v>
      </c>
      <c r="O39" s="5">
        <v>4</v>
      </c>
      <c r="Q39" s="5" t="s">
        <v>470</v>
      </c>
      <c r="R39" s="5" t="s">
        <v>664</v>
      </c>
      <c r="S39" s="5">
        <v>70160101</v>
      </c>
      <c r="T39" s="5" t="s">
        <v>665</v>
      </c>
      <c r="U39" s="5">
        <v>24260</v>
      </c>
      <c r="V39" s="5">
        <v>14030.27</v>
      </c>
      <c r="W39" s="5" t="s">
        <v>512</v>
      </c>
      <c r="X39" s="6">
        <v>46082</v>
      </c>
      <c r="Y39" s="6">
        <v>46172</v>
      </c>
      <c r="Z39" s="6">
        <v>46082</v>
      </c>
      <c r="AA39" s="6">
        <v>46142</v>
      </c>
      <c r="AB39" s="5" t="s">
        <v>478</v>
      </c>
      <c r="AC39" s="5" t="s">
        <v>478</v>
      </c>
      <c r="AD39" s="5" t="s">
        <v>776</v>
      </c>
      <c r="AE39" s="5" t="s">
        <v>815</v>
      </c>
      <c r="AF39" s="11">
        <v>46073</v>
      </c>
      <c r="AG39" s="5" t="s">
        <v>816</v>
      </c>
      <c r="AH39" s="11">
        <v>46100</v>
      </c>
      <c r="AI39" s="5" t="s">
        <v>817</v>
      </c>
      <c r="AJ39" s="5" t="s">
        <v>818</v>
      </c>
      <c r="AK39" s="11">
        <v>46055</v>
      </c>
      <c r="AL39" s="5" t="s">
        <v>501</v>
      </c>
      <c r="AM39" s="5" t="s">
        <v>819</v>
      </c>
    </row>
    <row r="40" spans="1:42" ht="15.75" customHeight="1" x14ac:dyDescent="0.3">
      <c r="A40" s="5">
        <v>35</v>
      </c>
      <c r="B40" s="5" t="s">
        <v>820</v>
      </c>
      <c r="C40" s="5" t="s">
        <v>460</v>
      </c>
      <c r="D40" s="5" t="s">
        <v>770</v>
      </c>
      <c r="H40" s="5" t="s">
        <v>771</v>
      </c>
      <c r="I40" s="5" t="s">
        <v>821</v>
      </c>
      <c r="J40" s="5" t="s">
        <v>822</v>
      </c>
      <c r="K40" s="5" t="s">
        <v>466</v>
      </c>
      <c r="L40" s="5">
        <f t="shared" si="5"/>
        <v>11</v>
      </c>
      <c r="M40" s="5">
        <v>4</v>
      </c>
      <c r="N40" s="5">
        <v>3</v>
      </c>
      <c r="O40" s="5">
        <v>4</v>
      </c>
      <c r="Q40" s="5" t="s">
        <v>470</v>
      </c>
      <c r="R40" s="5" t="s">
        <v>493</v>
      </c>
      <c r="S40" s="5">
        <v>70170101</v>
      </c>
      <c r="T40" s="5" t="s">
        <v>494</v>
      </c>
      <c r="U40" s="5">
        <v>2500</v>
      </c>
      <c r="V40" s="5">
        <v>2183</v>
      </c>
      <c r="W40" s="5" t="s">
        <v>512</v>
      </c>
      <c r="X40" s="6">
        <v>46082</v>
      </c>
      <c r="Y40" s="6">
        <v>46172</v>
      </c>
      <c r="Z40" s="6">
        <v>46082</v>
      </c>
      <c r="AA40" s="6">
        <v>46127</v>
      </c>
      <c r="AB40" s="5" t="s">
        <v>478</v>
      </c>
      <c r="AC40" s="5" t="s">
        <v>478</v>
      </c>
      <c r="AD40" s="5" t="s">
        <v>776</v>
      </c>
      <c r="AE40" s="5" t="s">
        <v>823</v>
      </c>
      <c r="AF40" s="11">
        <v>46073</v>
      </c>
      <c r="AG40" s="5" t="s">
        <v>824</v>
      </c>
      <c r="AH40" s="11">
        <v>46090</v>
      </c>
      <c r="AI40" s="5" t="s">
        <v>825</v>
      </c>
      <c r="AJ40" s="5" t="s">
        <v>826</v>
      </c>
      <c r="AK40" s="11">
        <v>46055</v>
      </c>
      <c r="AL40" s="5" t="s">
        <v>501</v>
      </c>
    </row>
    <row r="41" spans="1:42" ht="15.75" customHeight="1" x14ac:dyDescent="0.3">
      <c r="A41" s="5">
        <v>36</v>
      </c>
      <c r="B41" s="5" t="s">
        <v>827</v>
      </c>
      <c r="C41" s="5" t="s">
        <v>460</v>
      </c>
      <c r="D41" s="5" t="s">
        <v>770</v>
      </c>
      <c r="H41" s="5" t="s">
        <v>771</v>
      </c>
      <c r="I41" s="5" t="s">
        <v>828</v>
      </c>
      <c r="J41" s="5" t="s">
        <v>829</v>
      </c>
      <c r="K41" s="5" t="s">
        <v>466</v>
      </c>
      <c r="L41" s="5">
        <f t="shared" si="5"/>
        <v>11</v>
      </c>
      <c r="M41" s="5">
        <v>4</v>
      </c>
      <c r="N41" s="5">
        <v>3</v>
      </c>
      <c r="O41" s="5">
        <v>4</v>
      </c>
      <c r="Q41" s="5" t="s">
        <v>470</v>
      </c>
      <c r="R41" s="5" t="s">
        <v>510</v>
      </c>
      <c r="S41" s="5">
        <v>70180103</v>
      </c>
      <c r="T41" s="5" t="s">
        <v>511</v>
      </c>
      <c r="U41" s="5">
        <v>17109</v>
      </c>
      <c r="V41" s="5">
        <v>17930.18</v>
      </c>
      <c r="W41" s="5" t="s">
        <v>512</v>
      </c>
      <c r="X41" s="6">
        <v>46143</v>
      </c>
      <c r="Y41" s="6">
        <v>46203</v>
      </c>
      <c r="Z41" s="6">
        <v>46143</v>
      </c>
      <c r="AA41" s="6">
        <v>46143</v>
      </c>
      <c r="AB41" s="5" t="s">
        <v>478</v>
      </c>
      <c r="AC41" s="5" t="s">
        <v>478</v>
      </c>
      <c r="AD41" s="5" t="s">
        <v>776</v>
      </c>
      <c r="AE41" s="5" t="s">
        <v>830</v>
      </c>
      <c r="AF41" s="11">
        <v>46073</v>
      </c>
      <c r="AG41" s="5" t="s">
        <v>831</v>
      </c>
      <c r="AH41" s="11">
        <v>46134</v>
      </c>
      <c r="AI41" s="5" t="s">
        <v>832</v>
      </c>
      <c r="AJ41" s="5" t="s">
        <v>833</v>
      </c>
      <c r="AK41" s="11">
        <v>46055</v>
      </c>
      <c r="AL41" s="5" t="s">
        <v>501</v>
      </c>
    </row>
    <row r="42" spans="1:42" ht="15.75" customHeight="1" x14ac:dyDescent="0.3">
      <c r="A42" s="5">
        <v>37</v>
      </c>
      <c r="B42" s="5" t="s">
        <v>834</v>
      </c>
      <c r="C42" s="5" t="s">
        <v>460</v>
      </c>
      <c r="D42" s="5" t="s">
        <v>770</v>
      </c>
      <c r="H42" s="5" t="s">
        <v>835</v>
      </c>
      <c r="J42" s="5" t="s">
        <v>836</v>
      </c>
      <c r="Q42" s="5" t="s">
        <v>470</v>
      </c>
      <c r="R42" s="5" t="s">
        <v>588</v>
      </c>
      <c r="S42" s="5">
        <v>10220108</v>
      </c>
      <c r="T42" s="5" t="s">
        <v>590</v>
      </c>
      <c r="U42" s="5">
        <v>0</v>
      </c>
      <c r="V42" s="5">
        <v>0</v>
      </c>
      <c r="W42" s="5" t="s">
        <v>512</v>
      </c>
      <c r="X42" s="6">
        <v>46082</v>
      </c>
      <c r="Y42" s="6">
        <v>46082</v>
      </c>
      <c r="Z42" s="6">
        <v>46082</v>
      </c>
      <c r="AA42" s="6">
        <v>46111</v>
      </c>
      <c r="AB42" s="5" t="s">
        <v>478</v>
      </c>
      <c r="AC42" s="5" t="s">
        <v>478</v>
      </c>
      <c r="AD42" s="5" t="s">
        <v>776</v>
      </c>
      <c r="AE42" s="5" t="s">
        <v>592</v>
      </c>
      <c r="AF42" s="11">
        <v>46060</v>
      </c>
      <c r="AG42" s="5" t="s">
        <v>593</v>
      </c>
      <c r="AH42" s="11">
        <v>46077</v>
      </c>
      <c r="AI42" s="5" t="s">
        <v>837</v>
      </c>
      <c r="AJ42" s="5" t="s">
        <v>838</v>
      </c>
      <c r="AK42" s="11">
        <v>46055</v>
      </c>
      <c r="AL42" s="5" t="s">
        <v>501</v>
      </c>
      <c r="AM42" s="5" t="s">
        <v>839</v>
      </c>
      <c r="AO42" s="5" t="s">
        <v>596</v>
      </c>
    </row>
    <row r="43" spans="1:42" ht="15.75" customHeight="1" x14ac:dyDescent="0.3">
      <c r="A43" s="5">
        <v>38</v>
      </c>
      <c r="B43" s="5" t="s">
        <v>840</v>
      </c>
      <c r="C43" s="5" t="s">
        <v>460</v>
      </c>
      <c r="D43" s="5" t="s">
        <v>770</v>
      </c>
      <c r="H43" s="5" t="s">
        <v>835</v>
      </c>
      <c r="J43" s="5" t="s">
        <v>836</v>
      </c>
      <c r="Q43" s="5" t="s">
        <v>470</v>
      </c>
      <c r="R43" s="5" t="s">
        <v>649</v>
      </c>
      <c r="S43" s="5">
        <v>10220106</v>
      </c>
      <c r="T43" s="5" t="s">
        <v>651</v>
      </c>
      <c r="U43" s="5">
        <v>17200</v>
      </c>
      <c r="V43" s="5">
        <v>17154.91</v>
      </c>
      <c r="W43" s="5" t="s">
        <v>512</v>
      </c>
      <c r="X43" s="6">
        <v>46082</v>
      </c>
      <c r="Y43" s="6">
        <v>46125</v>
      </c>
      <c r="Z43" s="6">
        <v>46082</v>
      </c>
      <c r="AA43" s="6">
        <v>46125</v>
      </c>
      <c r="AB43" s="5" t="s">
        <v>478</v>
      </c>
      <c r="AC43" s="5" t="s">
        <v>478</v>
      </c>
      <c r="AD43" s="5" t="s">
        <v>776</v>
      </c>
      <c r="AE43" s="5" t="s">
        <v>841</v>
      </c>
      <c r="AF43" s="11">
        <v>46073</v>
      </c>
      <c r="AG43" s="5" t="s">
        <v>842</v>
      </c>
      <c r="AH43" s="11">
        <v>46099</v>
      </c>
      <c r="AI43" s="5" t="s">
        <v>843</v>
      </c>
      <c r="AJ43" s="5" t="s">
        <v>844</v>
      </c>
      <c r="AK43" s="11">
        <v>46055</v>
      </c>
      <c r="AL43" s="5" t="s">
        <v>501</v>
      </c>
    </row>
    <row r="44" spans="1:42" ht="15.75" customHeight="1" x14ac:dyDescent="0.3">
      <c r="A44" s="5">
        <v>39</v>
      </c>
      <c r="B44" s="5" t="s">
        <v>845</v>
      </c>
      <c r="C44" s="5" t="s">
        <v>460</v>
      </c>
      <c r="D44" s="5" t="s">
        <v>770</v>
      </c>
      <c r="H44" s="5" t="s">
        <v>835</v>
      </c>
      <c r="J44" s="5" t="s">
        <v>836</v>
      </c>
      <c r="Q44" s="5" t="s">
        <v>470</v>
      </c>
      <c r="R44" s="5" t="s">
        <v>527</v>
      </c>
      <c r="S44" s="5">
        <v>10220111</v>
      </c>
      <c r="T44" s="5" t="s">
        <v>528</v>
      </c>
      <c r="U44" s="5">
        <v>17200</v>
      </c>
      <c r="W44" s="5" t="s">
        <v>512</v>
      </c>
      <c r="X44" s="6">
        <v>46174</v>
      </c>
      <c r="Y44" s="6">
        <v>46356</v>
      </c>
      <c r="Z44" s="10"/>
      <c r="AA44" s="10"/>
      <c r="AB44" s="5" t="s">
        <v>531</v>
      </c>
      <c r="AD44" s="5" t="s">
        <v>776</v>
      </c>
      <c r="AI44" s="5" t="s">
        <v>846</v>
      </c>
      <c r="AJ44" s="5" t="s">
        <v>847</v>
      </c>
      <c r="AK44" s="11">
        <v>46055</v>
      </c>
      <c r="AL44" s="5" t="s">
        <v>501</v>
      </c>
      <c r="AM44" s="5" t="s">
        <v>848</v>
      </c>
    </row>
    <row r="45" spans="1:42" ht="15.75" customHeight="1" x14ac:dyDescent="0.3">
      <c r="A45" s="5">
        <v>40</v>
      </c>
      <c r="B45" s="5" t="s">
        <v>849</v>
      </c>
      <c r="C45" s="5" t="s">
        <v>460</v>
      </c>
      <c r="D45" s="5" t="s">
        <v>770</v>
      </c>
      <c r="H45" s="5" t="s">
        <v>835</v>
      </c>
      <c r="J45" s="5" t="s">
        <v>836</v>
      </c>
      <c r="Q45" s="5" t="s">
        <v>470</v>
      </c>
      <c r="R45" s="5" t="s">
        <v>559</v>
      </c>
      <c r="S45" s="5">
        <v>10110205</v>
      </c>
      <c r="T45" s="5" t="s">
        <v>850</v>
      </c>
      <c r="U45" s="5">
        <v>17200</v>
      </c>
      <c r="V45" s="5">
        <v>22192.19</v>
      </c>
      <c r="W45" s="5" t="s">
        <v>512</v>
      </c>
      <c r="X45" s="6">
        <v>46143</v>
      </c>
      <c r="Y45" s="6">
        <v>46203</v>
      </c>
      <c r="Z45" s="6">
        <v>46143</v>
      </c>
      <c r="AA45" s="6">
        <v>46143</v>
      </c>
      <c r="AB45" s="5" t="s">
        <v>478</v>
      </c>
      <c r="AC45" s="5" t="s">
        <v>478</v>
      </c>
      <c r="AD45" s="5" t="s">
        <v>776</v>
      </c>
      <c r="AE45" s="5" t="s">
        <v>851</v>
      </c>
      <c r="AF45" s="11">
        <v>46094</v>
      </c>
      <c r="AG45" s="5" t="s">
        <v>852</v>
      </c>
      <c r="AH45" s="11">
        <v>46131</v>
      </c>
      <c r="AI45" s="5" t="s">
        <v>853</v>
      </c>
      <c r="AJ45" s="5" t="s">
        <v>854</v>
      </c>
      <c r="AK45" s="11">
        <v>46055</v>
      </c>
      <c r="AL45" s="5" t="s">
        <v>501</v>
      </c>
    </row>
    <row r="46" spans="1:42" ht="15.75" customHeight="1" x14ac:dyDescent="0.3">
      <c r="A46" s="5">
        <v>41</v>
      </c>
      <c r="B46" s="5" t="s">
        <v>855</v>
      </c>
      <c r="C46" s="5" t="s">
        <v>460</v>
      </c>
      <c r="D46" s="5" t="s">
        <v>770</v>
      </c>
      <c r="H46" s="5" t="s">
        <v>835</v>
      </c>
      <c r="I46" s="5" t="s">
        <v>856</v>
      </c>
      <c r="J46" s="5" t="s">
        <v>836</v>
      </c>
      <c r="K46" s="5" t="s">
        <v>466</v>
      </c>
      <c r="L46" s="5">
        <f t="shared" ref="L46:L48" si="6">SUM(M46:O46)</f>
        <v>12</v>
      </c>
      <c r="M46" s="5">
        <v>5</v>
      </c>
      <c r="N46" s="5">
        <v>5</v>
      </c>
      <c r="O46" s="5">
        <v>2</v>
      </c>
      <c r="Q46" s="5" t="s">
        <v>470</v>
      </c>
      <c r="R46" s="5" t="s">
        <v>559</v>
      </c>
      <c r="S46" s="5">
        <v>10110102</v>
      </c>
      <c r="T46" s="5" t="s">
        <v>716</v>
      </c>
      <c r="U46" s="5">
        <v>17200</v>
      </c>
      <c r="V46" s="5">
        <v>12434.95</v>
      </c>
      <c r="W46" s="5" t="s">
        <v>512</v>
      </c>
      <c r="X46" s="6">
        <v>46082</v>
      </c>
      <c r="Y46" s="6">
        <v>46111</v>
      </c>
      <c r="Z46" s="6">
        <v>46082</v>
      </c>
      <c r="AA46" s="6">
        <v>46111</v>
      </c>
      <c r="AB46" s="5" t="s">
        <v>478</v>
      </c>
      <c r="AC46" s="5" t="s">
        <v>478</v>
      </c>
      <c r="AD46" s="5" t="s">
        <v>776</v>
      </c>
      <c r="AE46" s="5" t="s">
        <v>857</v>
      </c>
      <c r="AF46" s="11">
        <v>46091</v>
      </c>
      <c r="AG46" s="5" t="s">
        <v>858</v>
      </c>
      <c r="AH46" s="11">
        <v>46098</v>
      </c>
      <c r="AI46" s="5" t="s">
        <v>859</v>
      </c>
      <c r="AJ46" s="5" t="s">
        <v>860</v>
      </c>
      <c r="AK46" s="11">
        <v>46055</v>
      </c>
      <c r="AL46" s="5" t="s">
        <v>501</v>
      </c>
    </row>
    <row r="47" spans="1:42" ht="15.75" customHeight="1" x14ac:dyDescent="0.3">
      <c r="A47" s="5">
        <v>42</v>
      </c>
      <c r="B47" s="5" t="s">
        <v>861</v>
      </c>
      <c r="C47" s="5" t="s">
        <v>460</v>
      </c>
      <c r="D47" s="5" t="s">
        <v>862</v>
      </c>
      <c r="H47" s="5" t="s">
        <v>863</v>
      </c>
      <c r="I47" s="5" t="s">
        <v>864</v>
      </c>
      <c r="J47" s="5" t="s">
        <v>757</v>
      </c>
      <c r="K47" s="5" t="s">
        <v>466</v>
      </c>
      <c r="L47" s="5">
        <f t="shared" si="6"/>
        <v>10</v>
      </c>
      <c r="M47" s="5">
        <v>4</v>
      </c>
      <c r="N47" s="5">
        <v>2</v>
      </c>
      <c r="O47" s="5">
        <v>4</v>
      </c>
      <c r="Q47" s="5" t="s">
        <v>470</v>
      </c>
      <c r="R47" s="5" t="s">
        <v>726</v>
      </c>
      <c r="S47" s="5">
        <v>70190101</v>
      </c>
      <c r="T47" s="5" t="s">
        <v>727</v>
      </c>
      <c r="U47" s="5">
        <v>4000</v>
      </c>
      <c r="V47" s="5">
        <v>2880</v>
      </c>
      <c r="W47" s="5" t="s">
        <v>512</v>
      </c>
      <c r="X47" s="6">
        <v>46113</v>
      </c>
      <c r="Y47" s="6">
        <v>46203</v>
      </c>
      <c r="Z47" s="6">
        <v>46113</v>
      </c>
      <c r="AA47" s="6">
        <v>46157</v>
      </c>
      <c r="AB47" s="5" t="s">
        <v>478</v>
      </c>
      <c r="AC47" s="5" t="s">
        <v>478</v>
      </c>
      <c r="AD47" s="5" t="s">
        <v>14</v>
      </c>
      <c r="AE47" s="5" t="s">
        <v>865</v>
      </c>
      <c r="AF47" s="11">
        <v>46055</v>
      </c>
      <c r="AG47" s="5" t="s">
        <v>866</v>
      </c>
      <c r="AH47" s="11">
        <v>46097</v>
      </c>
      <c r="AI47" s="5" t="s">
        <v>867</v>
      </c>
      <c r="AJ47" s="5" t="s">
        <v>868</v>
      </c>
      <c r="AK47" s="11">
        <v>46055</v>
      </c>
      <c r="AL47" s="5" t="s">
        <v>501</v>
      </c>
    </row>
    <row r="48" spans="1:42" ht="15.75" customHeight="1" x14ac:dyDescent="0.3">
      <c r="A48" s="5">
        <v>43</v>
      </c>
      <c r="B48" s="5" t="s">
        <v>869</v>
      </c>
      <c r="C48" s="5" t="s">
        <v>460</v>
      </c>
      <c r="D48" s="5" t="s">
        <v>870</v>
      </c>
      <c r="H48" s="5" t="s">
        <v>871</v>
      </c>
      <c r="I48" s="5" t="s">
        <v>872</v>
      </c>
      <c r="J48" s="5" t="s">
        <v>873</v>
      </c>
      <c r="K48" s="5" t="s">
        <v>466</v>
      </c>
      <c r="L48" s="5">
        <f t="shared" si="6"/>
        <v>12</v>
      </c>
      <c r="M48" s="5">
        <v>5</v>
      </c>
      <c r="N48" s="5">
        <v>4</v>
      </c>
      <c r="O48" s="5">
        <v>3</v>
      </c>
      <c r="P48" s="5" t="s">
        <v>874</v>
      </c>
      <c r="Q48" s="5" t="s">
        <v>470</v>
      </c>
      <c r="R48" s="5" t="s">
        <v>774</v>
      </c>
      <c r="S48" s="5">
        <v>70110101</v>
      </c>
      <c r="T48" s="5" t="s">
        <v>775</v>
      </c>
      <c r="U48" s="5">
        <v>250000</v>
      </c>
      <c r="W48" s="5" t="s">
        <v>512</v>
      </c>
      <c r="X48" s="6">
        <v>46235</v>
      </c>
      <c r="Y48" s="6">
        <v>46356</v>
      </c>
      <c r="Z48" s="10"/>
      <c r="AA48" s="10"/>
      <c r="AB48" s="5" t="s">
        <v>514</v>
      </c>
      <c r="AD48" s="5" t="s">
        <v>480</v>
      </c>
    </row>
    <row r="49" spans="1:39" ht="15.75" customHeight="1" x14ac:dyDescent="0.3">
      <c r="A49" s="5">
        <v>44</v>
      </c>
      <c r="B49" s="5" t="s">
        <v>875</v>
      </c>
      <c r="C49" s="5" t="s">
        <v>460</v>
      </c>
      <c r="D49" s="5" t="s">
        <v>870</v>
      </c>
      <c r="H49" s="5" t="s">
        <v>876</v>
      </c>
      <c r="I49" s="5" t="s">
        <v>874</v>
      </c>
      <c r="P49" s="5" t="s">
        <v>874</v>
      </c>
      <c r="Q49" s="5" t="s">
        <v>470</v>
      </c>
      <c r="R49" s="5" t="s">
        <v>774</v>
      </c>
      <c r="S49" s="5">
        <v>70110103</v>
      </c>
      <c r="T49" s="5" t="s">
        <v>877</v>
      </c>
      <c r="U49" s="5">
        <v>200000</v>
      </c>
      <c r="W49" s="5" t="s">
        <v>512</v>
      </c>
      <c r="X49" s="6">
        <v>46235</v>
      </c>
      <c r="Y49" s="6">
        <v>46356</v>
      </c>
      <c r="Z49" s="10"/>
      <c r="AA49" s="10"/>
      <c r="AB49" s="5" t="s">
        <v>514</v>
      </c>
      <c r="AD49" s="5" t="s">
        <v>480</v>
      </c>
    </row>
    <row r="50" spans="1:39" ht="15.75" customHeight="1" x14ac:dyDescent="0.3">
      <c r="A50" s="5">
        <v>45</v>
      </c>
      <c r="B50" s="5" t="s">
        <v>878</v>
      </c>
      <c r="C50" s="5" t="s">
        <v>460</v>
      </c>
      <c r="D50" s="5" t="s">
        <v>870</v>
      </c>
      <c r="H50" s="5" t="s">
        <v>879</v>
      </c>
      <c r="I50" s="5" t="s">
        <v>874</v>
      </c>
      <c r="P50" s="5" t="s">
        <v>874</v>
      </c>
      <c r="Q50" s="5" t="s">
        <v>470</v>
      </c>
      <c r="R50" s="5" t="s">
        <v>774</v>
      </c>
      <c r="S50" s="5">
        <v>70110101</v>
      </c>
      <c r="T50" s="5" t="s">
        <v>775</v>
      </c>
      <c r="U50" s="5">
        <v>250000</v>
      </c>
      <c r="W50" s="5" t="s">
        <v>512</v>
      </c>
      <c r="X50" s="6">
        <v>46235</v>
      </c>
      <c r="Y50" s="6">
        <v>46356</v>
      </c>
      <c r="Z50" s="10"/>
      <c r="AA50" s="10"/>
      <c r="AB50" s="5" t="s">
        <v>514</v>
      </c>
      <c r="AD50" s="5" t="s">
        <v>480</v>
      </c>
    </row>
    <row r="51" spans="1:39" ht="15.75" customHeight="1" x14ac:dyDescent="0.3">
      <c r="A51" s="5">
        <v>46</v>
      </c>
      <c r="B51" s="5" t="s">
        <v>880</v>
      </c>
      <c r="C51" s="5" t="s">
        <v>460</v>
      </c>
      <c r="D51" s="5" t="s">
        <v>533</v>
      </c>
      <c r="F51" s="5" t="s">
        <v>534</v>
      </c>
      <c r="G51" s="5" t="s">
        <v>535</v>
      </c>
      <c r="H51" s="5" t="s">
        <v>881</v>
      </c>
      <c r="I51" s="5" t="s">
        <v>882</v>
      </c>
      <c r="J51" s="5" t="s">
        <v>883</v>
      </c>
      <c r="K51" s="5" t="s">
        <v>466</v>
      </c>
      <c r="L51" s="5">
        <f t="shared" ref="L51:L57" si="7">SUM(M51:O51)</f>
        <v>11</v>
      </c>
      <c r="M51" s="5">
        <v>5</v>
      </c>
      <c r="N51" s="5">
        <v>5</v>
      </c>
      <c r="O51" s="5">
        <v>1</v>
      </c>
      <c r="Q51" s="5" t="s">
        <v>470</v>
      </c>
      <c r="R51" s="5" t="s">
        <v>559</v>
      </c>
      <c r="S51" s="5">
        <v>10110204</v>
      </c>
      <c r="T51" s="5" t="s">
        <v>561</v>
      </c>
      <c r="U51" s="5">
        <v>20000</v>
      </c>
      <c r="V51" s="5">
        <v>1919.9072000000001</v>
      </c>
      <c r="W51" s="5" t="s">
        <v>512</v>
      </c>
      <c r="X51" s="6">
        <v>46174</v>
      </c>
      <c r="Y51" s="6">
        <v>46366</v>
      </c>
      <c r="Z51" s="10"/>
      <c r="AA51" s="10"/>
      <c r="AB51" s="5" t="s">
        <v>514</v>
      </c>
      <c r="AD51" s="5" t="s">
        <v>542</v>
      </c>
      <c r="AE51" s="5" t="s">
        <v>884</v>
      </c>
      <c r="AG51" s="5" t="s">
        <v>885</v>
      </c>
      <c r="AI51" s="5" t="s">
        <v>886</v>
      </c>
      <c r="AJ51" s="5" t="s">
        <v>887</v>
      </c>
      <c r="AK51" s="11">
        <v>46055</v>
      </c>
      <c r="AL51" s="5" t="s">
        <v>501</v>
      </c>
      <c r="AM51" s="5" t="s">
        <v>888</v>
      </c>
    </row>
    <row r="52" spans="1:39" ht="15.75" customHeight="1" x14ac:dyDescent="0.3">
      <c r="A52" s="5">
        <v>47</v>
      </c>
      <c r="B52" s="5" t="s">
        <v>889</v>
      </c>
      <c r="C52" s="5" t="s">
        <v>460</v>
      </c>
      <c r="D52" s="5" t="s">
        <v>890</v>
      </c>
      <c r="F52" s="5" t="s">
        <v>891</v>
      </c>
      <c r="G52" s="5" t="s">
        <v>892</v>
      </c>
      <c r="H52" s="5" t="s">
        <v>893</v>
      </c>
      <c r="I52" s="5" t="s">
        <v>894</v>
      </c>
      <c r="J52" s="5" t="s">
        <v>895</v>
      </c>
      <c r="K52" s="5" t="s">
        <v>466</v>
      </c>
      <c r="L52" s="5">
        <f t="shared" si="7"/>
        <v>9</v>
      </c>
      <c r="M52" s="5">
        <v>3</v>
      </c>
      <c r="N52" s="5">
        <v>3</v>
      </c>
      <c r="O52" s="5">
        <v>3</v>
      </c>
      <c r="Q52" s="5" t="s">
        <v>470</v>
      </c>
      <c r="R52" s="5" t="s">
        <v>774</v>
      </c>
      <c r="S52" s="5">
        <v>70110107</v>
      </c>
      <c r="T52" s="5" t="s">
        <v>896</v>
      </c>
      <c r="U52" s="5">
        <v>20000</v>
      </c>
      <c r="V52" s="5">
        <v>4625.01</v>
      </c>
      <c r="W52" s="5" t="s">
        <v>474</v>
      </c>
      <c r="X52" s="6">
        <v>46143</v>
      </c>
      <c r="Y52" s="6">
        <v>46203</v>
      </c>
      <c r="Z52" s="10"/>
      <c r="AA52" s="10"/>
      <c r="AB52" s="5" t="s">
        <v>478</v>
      </c>
      <c r="AC52" s="5" t="s">
        <v>478</v>
      </c>
      <c r="AD52" s="5" t="s">
        <v>897</v>
      </c>
      <c r="AE52" s="5" t="s">
        <v>898</v>
      </c>
      <c r="AF52" s="11">
        <v>46063</v>
      </c>
      <c r="AG52" s="5" t="s">
        <v>899</v>
      </c>
      <c r="AH52" s="11">
        <v>46107</v>
      </c>
      <c r="AI52" s="5" t="s">
        <v>900</v>
      </c>
      <c r="AJ52" s="5" t="s">
        <v>901</v>
      </c>
      <c r="AK52" s="11">
        <v>46055</v>
      </c>
      <c r="AL52" s="5" t="s">
        <v>501</v>
      </c>
      <c r="AM52" s="5" t="s">
        <v>902</v>
      </c>
    </row>
    <row r="53" spans="1:39" ht="15.75" customHeight="1" x14ac:dyDescent="0.3">
      <c r="A53" s="5">
        <v>48</v>
      </c>
      <c r="B53" s="5" t="s">
        <v>903</v>
      </c>
      <c r="C53" s="5" t="s">
        <v>460</v>
      </c>
      <c r="D53" s="5" t="s">
        <v>904</v>
      </c>
      <c r="H53" s="5" t="s">
        <v>905</v>
      </c>
      <c r="I53" s="5" t="s">
        <v>906</v>
      </c>
      <c r="J53" s="5" t="s">
        <v>907</v>
      </c>
      <c r="K53" s="5" t="s">
        <v>466</v>
      </c>
      <c r="L53" s="5">
        <f t="shared" si="7"/>
        <v>10</v>
      </c>
      <c r="M53" s="5">
        <v>4</v>
      </c>
      <c r="N53" s="5">
        <v>5</v>
      </c>
      <c r="O53" s="5">
        <v>1</v>
      </c>
      <c r="Q53" s="5" t="s">
        <v>470</v>
      </c>
      <c r="R53" s="5" t="s">
        <v>471</v>
      </c>
      <c r="S53" s="5">
        <v>10220110</v>
      </c>
      <c r="T53" s="5" t="s">
        <v>472</v>
      </c>
      <c r="U53" s="5">
        <v>14000</v>
      </c>
      <c r="V53" s="5">
        <v>4531.2</v>
      </c>
      <c r="W53" s="5" t="s">
        <v>512</v>
      </c>
      <c r="X53" s="6">
        <v>46244</v>
      </c>
      <c r="Y53" s="6">
        <v>46295</v>
      </c>
      <c r="Z53" s="6">
        <v>46082</v>
      </c>
      <c r="AA53" s="10"/>
      <c r="AB53" s="5" t="s">
        <v>514</v>
      </c>
      <c r="AD53" s="5" t="s">
        <v>14</v>
      </c>
      <c r="AE53" s="5" t="s">
        <v>908</v>
      </c>
      <c r="AF53" s="11">
        <v>46056</v>
      </c>
      <c r="AG53" s="5" t="s">
        <v>909</v>
      </c>
      <c r="AH53" s="11">
        <v>46121</v>
      </c>
      <c r="AI53" s="5" t="s">
        <v>910</v>
      </c>
      <c r="AJ53" s="5" t="s">
        <v>911</v>
      </c>
      <c r="AK53" s="11">
        <v>46055</v>
      </c>
      <c r="AL53" s="5" t="s">
        <v>501</v>
      </c>
      <c r="AM53" s="5" t="s">
        <v>912</v>
      </c>
    </row>
    <row r="54" spans="1:39" ht="15.75" customHeight="1" x14ac:dyDescent="0.3">
      <c r="A54" s="5">
        <v>49</v>
      </c>
      <c r="B54" s="5" t="s">
        <v>913</v>
      </c>
      <c r="C54" s="5" t="s">
        <v>460</v>
      </c>
      <c r="D54" s="5" t="s">
        <v>914</v>
      </c>
      <c r="H54" s="5" t="s">
        <v>915</v>
      </c>
      <c r="I54" s="5" t="s">
        <v>916</v>
      </c>
      <c r="J54" s="5" t="s">
        <v>917</v>
      </c>
      <c r="K54" s="5" t="s">
        <v>466</v>
      </c>
      <c r="L54" s="5">
        <f t="shared" si="7"/>
        <v>10</v>
      </c>
      <c r="M54" s="5">
        <v>4</v>
      </c>
      <c r="N54" s="5">
        <v>5</v>
      </c>
      <c r="O54" s="5">
        <v>1</v>
      </c>
      <c r="Q54" s="5" t="s">
        <v>470</v>
      </c>
      <c r="R54" s="5" t="s">
        <v>559</v>
      </c>
      <c r="S54" s="5">
        <v>10110102</v>
      </c>
      <c r="T54" s="5" t="s">
        <v>716</v>
      </c>
      <c r="U54" s="5">
        <v>18000</v>
      </c>
      <c r="V54" s="5">
        <v>14632</v>
      </c>
      <c r="W54" s="5" t="s">
        <v>512</v>
      </c>
      <c r="X54" s="6">
        <v>46082</v>
      </c>
      <c r="Y54" s="6">
        <v>46172</v>
      </c>
      <c r="Z54" s="6">
        <v>46082</v>
      </c>
      <c r="AA54" s="6">
        <v>46157</v>
      </c>
      <c r="AB54" s="5" t="s">
        <v>478</v>
      </c>
      <c r="AC54" s="5" t="s">
        <v>478</v>
      </c>
      <c r="AD54" s="5" t="s">
        <v>14</v>
      </c>
      <c r="AE54" s="5" t="s">
        <v>918</v>
      </c>
      <c r="AF54" s="11">
        <v>46056</v>
      </c>
      <c r="AG54" s="5" t="s">
        <v>919</v>
      </c>
      <c r="AH54" s="11">
        <v>46085</v>
      </c>
      <c r="AI54" s="5" t="s">
        <v>920</v>
      </c>
      <c r="AJ54" s="5" t="s">
        <v>921</v>
      </c>
      <c r="AK54" s="11">
        <v>46055</v>
      </c>
      <c r="AL54" s="5" t="s">
        <v>501</v>
      </c>
    </row>
    <row r="55" spans="1:39" ht="15.75" customHeight="1" x14ac:dyDescent="0.3">
      <c r="A55" s="5">
        <v>50</v>
      </c>
      <c r="B55" s="5" t="s">
        <v>922</v>
      </c>
      <c r="C55" s="5" t="s">
        <v>460</v>
      </c>
      <c r="D55" s="5" t="s">
        <v>550</v>
      </c>
      <c r="F55" s="5" t="s">
        <v>551</v>
      </c>
      <c r="G55" s="5" t="s">
        <v>552</v>
      </c>
      <c r="H55" s="5" t="s">
        <v>923</v>
      </c>
      <c r="I55" s="5" t="s">
        <v>925</v>
      </c>
      <c r="J55" s="5" t="s">
        <v>926</v>
      </c>
      <c r="K55" s="5" t="s">
        <v>466</v>
      </c>
      <c r="L55" s="5">
        <f t="shared" si="7"/>
        <v>11</v>
      </c>
      <c r="M55" s="5">
        <v>5</v>
      </c>
      <c r="N55" s="5">
        <v>5</v>
      </c>
      <c r="O55" s="5">
        <v>1</v>
      </c>
      <c r="Q55" s="5" t="s">
        <v>470</v>
      </c>
      <c r="R55" s="5" t="s">
        <v>471</v>
      </c>
      <c r="S55" s="5">
        <v>10220110</v>
      </c>
      <c r="T55" s="5" t="s">
        <v>472</v>
      </c>
      <c r="U55" s="5">
        <v>52000</v>
      </c>
      <c r="V55" s="5">
        <v>8138.46</v>
      </c>
      <c r="W55" s="5" t="s">
        <v>512</v>
      </c>
      <c r="X55" s="6">
        <v>46174</v>
      </c>
      <c r="Y55" s="6">
        <v>46295</v>
      </c>
      <c r="Z55" s="6">
        <v>46134</v>
      </c>
      <c r="AA55" s="10"/>
      <c r="AB55" s="5" t="s">
        <v>514</v>
      </c>
      <c r="AD55" s="5" t="s">
        <v>496</v>
      </c>
      <c r="AE55" s="5" t="s">
        <v>929</v>
      </c>
      <c r="AF55" s="11">
        <v>46063</v>
      </c>
      <c r="AG55" s="5" t="s">
        <v>930</v>
      </c>
      <c r="AH55" s="11">
        <v>46097</v>
      </c>
      <c r="AI55" s="5" t="s">
        <v>931</v>
      </c>
      <c r="AJ55" s="5" t="s">
        <v>932</v>
      </c>
      <c r="AK55" s="11">
        <v>46055</v>
      </c>
      <c r="AL55" s="5" t="s">
        <v>501</v>
      </c>
      <c r="AM55" s="5" t="s">
        <v>934</v>
      </c>
    </row>
    <row r="56" spans="1:39" ht="15.75" customHeight="1" x14ac:dyDescent="0.3">
      <c r="A56" s="5">
        <v>51</v>
      </c>
      <c r="B56" s="5" t="s">
        <v>935</v>
      </c>
      <c r="C56" s="5" t="s">
        <v>460</v>
      </c>
      <c r="D56" s="5" t="s">
        <v>550</v>
      </c>
      <c r="F56" s="5" t="s">
        <v>551</v>
      </c>
      <c r="G56" s="5" t="s">
        <v>552</v>
      </c>
      <c r="H56" s="5" t="s">
        <v>936</v>
      </c>
      <c r="I56" s="5" t="s">
        <v>938</v>
      </c>
      <c r="J56" s="5" t="s">
        <v>555</v>
      </c>
      <c r="K56" s="5" t="s">
        <v>466</v>
      </c>
      <c r="L56" s="5">
        <f t="shared" si="7"/>
        <v>10</v>
      </c>
      <c r="M56" s="5">
        <v>4</v>
      </c>
      <c r="N56" s="5">
        <v>5</v>
      </c>
      <c r="O56" s="5">
        <v>1</v>
      </c>
      <c r="Q56" s="5" t="s">
        <v>470</v>
      </c>
      <c r="R56" s="5" t="s">
        <v>559</v>
      </c>
      <c r="S56" s="5">
        <v>10110204</v>
      </c>
      <c r="T56" s="5" t="s">
        <v>561</v>
      </c>
      <c r="U56" s="5">
        <v>60000</v>
      </c>
      <c r="W56" s="5" t="s">
        <v>512</v>
      </c>
      <c r="X56" s="6">
        <v>46174</v>
      </c>
      <c r="Y56" s="6">
        <v>46295</v>
      </c>
      <c r="Z56" s="10"/>
      <c r="AA56" s="10"/>
      <c r="AB56" s="5" t="s">
        <v>514</v>
      </c>
      <c r="AD56" s="5" t="s">
        <v>496</v>
      </c>
      <c r="AE56" s="5" t="s">
        <v>941</v>
      </c>
      <c r="AF56" s="11">
        <v>46063</v>
      </c>
      <c r="AG56" s="5" t="s">
        <v>689</v>
      </c>
      <c r="AI56" s="5" t="s">
        <v>942</v>
      </c>
      <c r="AJ56" s="5" t="s">
        <v>943</v>
      </c>
      <c r="AK56" s="11">
        <v>46055</v>
      </c>
      <c r="AL56" s="5" t="s">
        <v>501</v>
      </c>
      <c r="AM56" s="5" t="s">
        <v>945</v>
      </c>
    </row>
    <row r="57" spans="1:39" ht="15.75" customHeight="1" x14ac:dyDescent="0.3">
      <c r="A57" s="5">
        <v>52</v>
      </c>
      <c r="B57" s="5" t="s">
        <v>946</v>
      </c>
      <c r="C57" s="5" t="s">
        <v>460</v>
      </c>
      <c r="D57" s="5" t="s">
        <v>676</v>
      </c>
      <c r="H57" s="5" t="s">
        <v>947</v>
      </c>
      <c r="I57" s="5" t="s">
        <v>949</v>
      </c>
      <c r="K57" s="5" t="s">
        <v>466</v>
      </c>
      <c r="L57" s="5">
        <f t="shared" si="7"/>
        <v>9</v>
      </c>
      <c r="M57" s="5">
        <v>1</v>
      </c>
      <c r="N57" s="5">
        <v>3</v>
      </c>
      <c r="O57" s="5">
        <v>5</v>
      </c>
      <c r="Q57" s="5" t="s">
        <v>470</v>
      </c>
      <c r="R57" s="5" t="s">
        <v>527</v>
      </c>
      <c r="S57" s="5">
        <v>10220111</v>
      </c>
      <c r="T57" s="5" t="s">
        <v>528</v>
      </c>
      <c r="U57" s="5">
        <v>20000</v>
      </c>
      <c r="V57" s="5">
        <v>7977.52</v>
      </c>
      <c r="W57" s="5" t="s">
        <v>474</v>
      </c>
      <c r="X57" s="6">
        <v>46233</v>
      </c>
      <c r="Y57" s="6">
        <v>46295</v>
      </c>
      <c r="Z57" s="6">
        <v>46193</v>
      </c>
      <c r="AA57" s="10"/>
      <c r="AB57" s="5" t="s">
        <v>514</v>
      </c>
      <c r="AD57" s="5" t="s">
        <v>496</v>
      </c>
      <c r="AE57" s="5" t="s">
        <v>955</v>
      </c>
      <c r="AF57" s="11">
        <v>46060</v>
      </c>
      <c r="AG57" s="5" t="s">
        <v>956</v>
      </c>
      <c r="AH57" s="11">
        <v>46177</v>
      </c>
      <c r="AI57" s="5" t="s">
        <v>957</v>
      </c>
      <c r="AJ57" s="5" t="s">
        <v>958</v>
      </c>
      <c r="AK57" s="11">
        <v>46055</v>
      </c>
      <c r="AL57" s="5" t="s">
        <v>501</v>
      </c>
      <c r="AM57" s="5" t="s">
        <v>959</v>
      </c>
    </row>
    <row r="58" spans="1:39" ht="15.75" customHeight="1" x14ac:dyDescent="0.3">
      <c r="A58" s="5">
        <v>53</v>
      </c>
      <c r="B58" s="5" t="s">
        <v>960</v>
      </c>
      <c r="C58" s="5" t="s">
        <v>460</v>
      </c>
      <c r="D58" s="5" t="s">
        <v>582</v>
      </c>
      <c r="F58" s="5" t="s">
        <v>583</v>
      </c>
      <c r="G58" s="5" t="s">
        <v>584</v>
      </c>
      <c r="H58" s="5" t="s">
        <v>961</v>
      </c>
      <c r="J58" s="5" t="s">
        <v>962</v>
      </c>
      <c r="Q58" s="5" t="s">
        <v>470</v>
      </c>
      <c r="R58" s="5" t="s">
        <v>559</v>
      </c>
      <c r="S58" s="5">
        <v>10110201</v>
      </c>
      <c r="T58" s="5" t="s">
        <v>614</v>
      </c>
      <c r="U58" s="5">
        <v>21500</v>
      </c>
      <c r="V58" s="5">
        <v>36989.599999999999</v>
      </c>
      <c r="W58" s="5" t="s">
        <v>474</v>
      </c>
      <c r="X58" s="6">
        <v>46082</v>
      </c>
      <c r="Y58" s="6">
        <v>46082</v>
      </c>
      <c r="Z58" s="6">
        <v>46082</v>
      </c>
      <c r="AA58" s="6">
        <v>46111</v>
      </c>
      <c r="AB58" s="5" t="s">
        <v>478</v>
      </c>
      <c r="AC58" s="5" t="s">
        <v>478</v>
      </c>
      <c r="AD58" s="5" t="s">
        <v>496</v>
      </c>
      <c r="AE58" s="5" t="s">
        <v>963</v>
      </c>
      <c r="AF58" s="11">
        <v>46062</v>
      </c>
      <c r="AG58" s="5" t="s">
        <v>964</v>
      </c>
      <c r="AH58" s="11">
        <v>46080</v>
      </c>
      <c r="AI58" s="5" t="s">
        <v>965</v>
      </c>
      <c r="AJ58" s="5" t="s">
        <v>966</v>
      </c>
      <c r="AK58" s="11">
        <v>46055</v>
      </c>
      <c r="AL58" s="5" t="s">
        <v>501</v>
      </c>
    </row>
    <row r="59" spans="1:39" ht="15.75" customHeight="1" x14ac:dyDescent="0.3">
      <c r="A59" s="5">
        <v>54</v>
      </c>
      <c r="B59" s="5" t="s">
        <v>967</v>
      </c>
      <c r="C59" s="5" t="s">
        <v>460</v>
      </c>
      <c r="D59" s="5" t="s">
        <v>582</v>
      </c>
      <c r="F59" s="5" t="s">
        <v>583</v>
      </c>
      <c r="G59" s="5" t="s">
        <v>584</v>
      </c>
      <c r="H59" s="5" t="s">
        <v>961</v>
      </c>
      <c r="I59" s="5" t="s">
        <v>968</v>
      </c>
      <c r="J59" s="5" t="s">
        <v>962</v>
      </c>
      <c r="K59" s="5" t="s">
        <v>466</v>
      </c>
      <c r="L59" s="5">
        <f t="shared" ref="L59:L61" si="8">SUM(M59:O59)</f>
        <v>9</v>
      </c>
      <c r="M59" s="5">
        <v>4</v>
      </c>
      <c r="N59" s="5">
        <v>4</v>
      </c>
      <c r="O59" s="5">
        <v>1</v>
      </c>
      <c r="Q59" s="5" t="s">
        <v>470</v>
      </c>
      <c r="R59" s="5" t="s">
        <v>527</v>
      </c>
      <c r="S59" s="5">
        <v>10220111</v>
      </c>
      <c r="T59" s="5" t="s">
        <v>528</v>
      </c>
      <c r="U59" s="5">
        <v>21500</v>
      </c>
      <c r="V59" s="5">
        <v>21634.75</v>
      </c>
      <c r="W59" s="5" t="s">
        <v>474</v>
      </c>
      <c r="X59" s="6">
        <v>46233</v>
      </c>
      <c r="Y59" s="6">
        <v>46295</v>
      </c>
      <c r="Z59" s="10"/>
      <c r="AA59" s="10"/>
      <c r="AB59" s="5" t="s">
        <v>514</v>
      </c>
      <c r="AD59" s="5" t="s">
        <v>496</v>
      </c>
      <c r="AE59" s="5" t="s">
        <v>969</v>
      </c>
      <c r="AF59" s="11">
        <v>46062</v>
      </c>
      <c r="AG59" s="5" t="s">
        <v>970</v>
      </c>
      <c r="AH59" s="11">
        <v>46205</v>
      </c>
      <c r="AI59" s="5" t="s">
        <v>971</v>
      </c>
      <c r="AJ59" s="5" t="s">
        <v>972</v>
      </c>
      <c r="AK59" s="11">
        <v>46055</v>
      </c>
      <c r="AL59" s="5" t="s">
        <v>501</v>
      </c>
      <c r="AM59" s="5" t="s">
        <v>973</v>
      </c>
    </row>
    <row r="60" spans="1:39" ht="15.75" customHeight="1" x14ac:dyDescent="0.3">
      <c r="A60" s="5">
        <v>55</v>
      </c>
      <c r="B60" s="5" t="s">
        <v>974</v>
      </c>
      <c r="C60" s="5" t="s">
        <v>460</v>
      </c>
      <c r="D60" s="5" t="s">
        <v>870</v>
      </c>
      <c r="H60" s="5" t="s">
        <v>975</v>
      </c>
      <c r="I60" s="5" t="s">
        <v>976</v>
      </c>
      <c r="J60" s="5" t="s">
        <v>977</v>
      </c>
      <c r="K60" s="5" t="s">
        <v>466</v>
      </c>
      <c r="L60" s="5">
        <f t="shared" si="8"/>
        <v>13</v>
      </c>
      <c r="M60" s="5">
        <v>5</v>
      </c>
      <c r="N60" s="5">
        <v>5</v>
      </c>
      <c r="O60" s="5">
        <v>3</v>
      </c>
      <c r="P60" s="5" t="s">
        <v>978</v>
      </c>
      <c r="Q60" s="5" t="s">
        <v>470</v>
      </c>
      <c r="R60" s="5" t="s">
        <v>774</v>
      </c>
      <c r="S60" s="5">
        <v>70110103</v>
      </c>
      <c r="T60" s="5" t="s">
        <v>877</v>
      </c>
      <c r="U60" s="5">
        <v>100000</v>
      </c>
      <c r="W60" s="5" t="s">
        <v>512</v>
      </c>
      <c r="X60" s="6">
        <v>46235</v>
      </c>
      <c r="Y60" s="6">
        <v>46325</v>
      </c>
      <c r="Z60" s="10"/>
      <c r="AA60" s="10"/>
      <c r="AB60" s="5" t="s">
        <v>514</v>
      </c>
      <c r="AD60" s="5" t="s">
        <v>480</v>
      </c>
    </row>
    <row r="61" spans="1:39" ht="15.75" customHeight="1" x14ac:dyDescent="0.3">
      <c r="A61" s="5">
        <v>56</v>
      </c>
      <c r="B61" s="5" t="s">
        <v>979</v>
      </c>
      <c r="C61" s="5" t="s">
        <v>460</v>
      </c>
      <c r="D61" s="5" t="s">
        <v>582</v>
      </c>
      <c r="F61" s="5" t="s">
        <v>583</v>
      </c>
      <c r="G61" s="5" t="s">
        <v>584</v>
      </c>
      <c r="H61" s="5" t="s">
        <v>980</v>
      </c>
      <c r="I61" s="5" t="s">
        <v>981</v>
      </c>
      <c r="J61" s="5" t="s">
        <v>982</v>
      </c>
      <c r="K61" s="5" t="s">
        <v>466</v>
      </c>
      <c r="L61" s="5">
        <f t="shared" si="8"/>
        <v>7</v>
      </c>
      <c r="M61" s="5">
        <v>1</v>
      </c>
      <c r="N61" s="5">
        <v>2</v>
      </c>
      <c r="O61" s="5">
        <v>4</v>
      </c>
      <c r="Q61" s="5" t="s">
        <v>470</v>
      </c>
      <c r="R61" s="5" t="s">
        <v>774</v>
      </c>
      <c r="S61" s="5">
        <v>70110107</v>
      </c>
      <c r="T61" s="5" t="s">
        <v>896</v>
      </c>
      <c r="U61" s="5">
        <v>6375.35</v>
      </c>
      <c r="V61" s="5">
        <v>6375.35</v>
      </c>
      <c r="W61" s="5" t="s">
        <v>562</v>
      </c>
      <c r="X61" s="6">
        <v>46143</v>
      </c>
      <c r="Y61" s="6">
        <v>46203</v>
      </c>
      <c r="Z61" s="6">
        <v>46082</v>
      </c>
      <c r="AA61" s="6">
        <v>46162</v>
      </c>
      <c r="AB61" s="5" t="s">
        <v>478</v>
      </c>
      <c r="AC61" s="5" t="s">
        <v>478</v>
      </c>
      <c r="AD61" s="5" t="s">
        <v>496</v>
      </c>
      <c r="AE61" s="5" t="s">
        <v>983</v>
      </c>
      <c r="AF61" s="11">
        <v>46078</v>
      </c>
      <c r="AG61" s="5" t="s">
        <v>984</v>
      </c>
      <c r="AH61" s="11">
        <v>46141</v>
      </c>
      <c r="AI61" s="5" t="s">
        <v>985</v>
      </c>
      <c r="AJ61" s="5" t="s">
        <v>986</v>
      </c>
      <c r="AK61" s="11">
        <v>46055</v>
      </c>
      <c r="AL61" s="5" t="s">
        <v>501</v>
      </c>
    </row>
    <row r="62" spans="1:39" ht="15.75" customHeight="1" x14ac:dyDescent="0.3">
      <c r="A62" s="5">
        <v>57</v>
      </c>
      <c r="B62" s="5" t="s">
        <v>987</v>
      </c>
      <c r="C62" s="5" t="s">
        <v>460</v>
      </c>
      <c r="D62" s="5" t="s">
        <v>533</v>
      </c>
      <c r="F62" s="5" t="s">
        <v>534</v>
      </c>
      <c r="G62" s="5" t="s">
        <v>535</v>
      </c>
      <c r="H62" s="5" t="s">
        <v>988</v>
      </c>
      <c r="Q62" s="5" t="s">
        <v>470</v>
      </c>
      <c r="R62" s="5" t="s">
        <v>726</v>
      </c>
      <c r="S62" s="5">
        <v>70190101</v>
      </c>
      <c r="T62" s="5" t="s">
        <v>727</v>
      </c>
      <c r="U62" s="5">
        <v>27000</v>
      </c>
      <c r="V62" s="5">
        <v>15871.9776</v>
      </c>
      <c r="W62" s="5" t="s">
        <v>474</v>
      </c>
      <c r="X62" s="6">
        <v>46174</v>
      </c>
      <c r="Y62" s="6">
        <v>46295</v>
      </c>
      <c r="Z62" s="6">
        <v>46174</v>
      </c>
      <c r="AA62" s="10"/>
      <c r="AB62" s="5" t="s">
        <v>514</v>
      </c>
      <c r="AD62" s="5" t="s">
        <v>542</v>
      </c>
      <c r="AE62" s="5" t="s">
        <v>989</v>
      </c>
      <c r="AF62" s="11">
        <v>46147</v>
      </c>
      <c r="AG62" s="5" t="s">
        <v>990</v>
      </c>
      <c r="AH62" s="5" t="s">
        <v>991</v>
      </c>
      <c r="AI62" s="5" t="s">
        <v>992</v>
      </c>
      <c r="AJ62" s="5" t="s">
        <v>993</v>
      </c>
      <c r="AK62" s="11">
        <v>46055</v>
      </c>
      <c r="AL62" s="5" t="s">
        <v>501</v>
      </c>
      <c r="AM62" s="5" t="s">
        <v>994</v>
      </c>
    </row>
    <row r="63" spans="1:39" ht="15.75" customHeight="1" x14ac:dyDescent="0.3">
      <c r="A63" s="5">
        <v>58</v>
      </c>
      <c r="B63" s="5" t="s">
        <v>995</v>
      </c>
      <c r="C63" s="5" t="s">
        <v>460</v>
      </c>
      <c r="D63" s="5" t="s">
        <v>533</v>
      </c>
      <c r="F63" s="5" t="s">
        <v>534</v>
      </c>
      <c r="G63" s="5" t="s">
        <v>535</v>
      </c>
      <c r="H63" s="5" t="s">
        <v>988</v>
      </c>
      <c r="Q63" s="5" t="s">
        <v>470</v>
      </c>
      <c r="R63" s="5" t="s">
        <v>664</v>
      </c>
      <c r="S63" s="5">
        <v>70160101</v>
      </c>
      <c r="T63" s="5" t="s">
        <v>665</v>
      </c>
      <c r="U63" s="5">
        <v>27000</v>
      </c>
      <c r="V63" s="5">
        <v>30853.03</v>
      </c>
      <c r="W63" s="5" t="s">
        <v>474</v>
      </c>
      <c r="X63" s="6">
        <v>46174</v>
      </c>
      <c r="Y63" s="6">
        <v>46295</v>
      </c>
      <c r="Z63" s="6">
        <v>46174</v>
      </c>
      <c r="AA63" s="10"/>
      <c r="AB63" s="5" t="s">
        <v>514</v>
      </c>
      <c r="AD63" s="5" t="s">
        <v>542</v>
      </c>
      <c r="AE63" s="5" t="s">
        <v>996</v>
      </c>
      <c r="AF63" s="11">
        <v>46147</v>
      </c>
      <c r="AG63" s="5" t="s">
        <v>997</v>
      </c>
      <c r="AH63" s="5" t="s">
        <v>998</v>
      </c>
      <c r="AI63" s="5" t="s">
        <v>999</v>
      </c>
      <c r="AJ63" s="5" t="s">
        <v>1000</v>
      </c>
      <c r="AK63" s="11">
        <v>46055</v>
      </c>
      <c r="AL63" s="5" t="s">
        <v>501</v>
      </c>
      <c r="AM63" s="5" t="s">
        <v>1001</v>
      </c>
    </row>
    <row r="64" spans="1:39" ht="15.75" customHeight="1" x14ac:dyDescent="0.3">
      <c r="A64" s="5">
        <v>59</v>
      </c>
      <c r="B64" s="5" t="s">
        <v>1002</v>
      </c>
      <c r="C64" s="5" t="s">
        <v>460</v>
      </c>
      <c r="D64" s="5" t="s">
        <v>533</v>
      </c>
      <c r="F64" s="5" t="s">
        <v>534</v>
      </c>
      <c r="G64" s="5" t="s">
        <v>535</v>
      </c>
      <c r="H64" s="5" t="s">
        <v>988</v>
      </c>
      <c r="Q64" s="5" t="s">
        <v>470</v>
      </c>
      <c r="R64" s="5" t="s">
        <v>510</v>
      </c>
      <c r="S64" s="5">
        <v>70180103</v>
      </c>
      <c r="T64" s="5" t="s">
        <v>511</v>
      </c>
      <c r="U64" s="5">
        <v>27000</v>
      </c>
      <c r="V64" s="5">
        <v>14434.0206</v>
      </c>
      <c r="W64" s="5" t="s">
        <v>474</v>
      </c>
      <c r="X64" s="6">
        <v>46113</v>
      </c>
      <c r="Y64" s="6">
        <v>46264</v>
      </c>
      <c r="Z64" s="6">
        <v>46174</v>
      </c>
      <c r="AA64" s="10"/>
      <c r="AB64" s="5" t="s">
        <v>478</v>
      </c>
      <c r="AD64" s="5" t="s">
        <v>542</v>
      </c>
      <c r="AE64" s="5" t="s">
        <v>1003</v>
      </c>
      <c r="AF64" s="5" t="s">
        <v>1004</v>
      </c>
      <c r="AG64" s="5" t="s">
        <v>1005</v>
      </c>
      <c r="AH64" s="5" t="s">
        <v>991</v>
      </c>
      <c r="AI64" s="5" t="s">
        <v>1006</v>
      </c>
      <c r="AJ64" s="5" t="s">
        <v>1007</v>
      </c>
      <c r="AK64" s="11">
        <v>46055</v>
      </c>
      <c r="AL64" s="5" t="s">
        <v>501</v>
      </c>
      <c r="AM64" s="5" t="s">
        <v>1008</v>
      </c>
    </row>
    <row r="65" spans="1:42" ht="15.75" customHeight="1" x14ac:dyDescent="0.3">
      <c r="A65" s="5">
        <v>60</v>
      </c>
      <c r="B65" s="5" t="s">
        <v>1009</v>
      </c>
      <c r="C65" s="5" t="s">
        <v>460</v>
      </c>
      <c r="D65" s="5" t="s">
        <v>533</v>
      </c>
      <c r="F65" s="5" t="s">
        <v>534</v>
      </c>
      <c r="G65" s="5" t="s">
        <v>535</v>
      </c>
      <c r="H65" s="5" t="s">
        <v>988</v>
      </c>
      <c r="Q65" s="5" t="s">
        <v>470</v>
      </c>
      <c r="R65" s="5" t="s">
        <v>538</v>
      </c>
      <c r="S65" s="5">
        <v>70150101</v>
      </c>
      <c r="T65" s="5" t="s">
        <v>540</v>
      </c>
      <c r="U65" s="5">
        <v>27000</v>
      </c>
      <c r="V65" s="5">
        <v>2799.9983999999999</v>
      </c>
      <c r="W65" s="5" t="s">
        <v>474</v>
      </c>
      <c r="X65" s="6">
        <v>46113</v>
      </c>
      <c r="Y65" s="6">
        <v>46264</v>
      </c>
      <c r="Z65" s="6">
        <v>46174</v>
      </c>
      <c r="AA65" s="10"/>
      <c r="AB65" s="5" t="s">
        <v>478</v>
      </c>
      <c r="AD65" s="5" t="s">
        <v>542</v>
      </c>
      <c r="AE65" s="5" t="s">
        <v>1010</v>
      </c>
      <c r="AF65" s="11">
        <v>46147</v>
      </c>
      <c r="AG65" s="5" t="s">
        <v>1011</v>
      </c>
      <c r="AH65" s="5" t="s">
        <v>1012</v>
      </c>
      <c r="AI65" s="5" t="s">
        <v>1013</v>
      </c>
      <c r="AJ65" s="5" t="s">
        <v>1014</v>
      </c>
      <c r="AK65" s="11">
        <v>46055</v>
      </c>
      <c r="AL65" s="5" t="s">
        <v>501</v>
      </c>
      <c r="AM65" s="5" t="s">
        <v>1015</v>
      </c>
    </row>
    <row r="66" spans="1:42" ht="15.75" customHeight="1" x14ac:dyDescent="0.3">
      <c r="A66" s="5">
        <v>61</v>
      </c>
      <c r="B66" s="5" t="s">
        <v>1016</v>
      </c>
      <c r="C66" s="5" t="s">
        <v>460</v>
      </c>
      <c r="D66" s="5" t="s">
        <v>533</v>
      </c>
      <c r="F66" s="5" t="s">
        <v>534</v>
      </c>
      <c r="G66" s="5" t="s">
        <v>535</v>
      </c>
      <c r="H66" s="5" t="s">
        <v>1017</v>
      </c>
      <c r="Q66" s="5" t="s">
        <v>470</v>
      </c>
      <c r="R66" s="5" t="s">
        <v>493</v>
      </c>
      <c r="S66" s="5">
        <v>70170101</v>
      </c>
      <c r="T66" s="5" t="s">
        <v>494</v>
      </c>
      <c r="U66" s="5">
        <v>37500</v>
      </c>
      <c r="V66" s="5">
        <v>37500</v>
      </c>
      <c r="W66" s="5" t="s">
        <v>474</v>
      </c>
      <c r="X66" s="6">
        <v>46174</v>
      </c>
      <c r="Y66" s="6">
        <v>46265</v>
      </c>
      <c r="Z66" s="6">
        <v>46203</v>
      </c>
      <c r="AA66" s="10"/>
      <c r="AB66" s="5" t="s">
        <v>478</v>
      </c>
      <c r="AD66" s="5" t="s">
        <v>542</v>
      </c>
      <c r="AE66" s="5" t="s">
        <v>1018</v>
      </c>
      <c r="AF66" s="5" t="s">
        <v>1019</v>
      </c>
      <c r="AG66" s="5" t="s">
        <v>1020</v>
      </c>
      <c r="AH66" s="11">
        <v>46197</v>
      </c>
      <c r="AI66" s="5" t="s">
        <v>1021</v>
      </c>
      <c r="AJ66" s="5" t="s">
        <v>1022</v>
      </c>
      <c r="AK66" s="11">
        <v>46055</v>
      </c>
      <c r="AL66" s="5" t="s">
        <v>501</v>
      </c>
      <c r="AM66" s="5" t="s">
        <v>1023</v>
      </c>
      <c r="AO66" s="5" t="s">
        <v>1024</v>
      </c>
    </row>
    <row r="67" spans="1:42" ht="15.75" customHeight="1" x14ac:dyDescent="0.3">
      <c r="A67" s="5">
        <v>62</v>
      </c>
      <c r="B67" s="5" t="s">
        <v>1025</v>
      </c>
      <c r="C67" s="5" t="s">
        <v>460</v>
      </c>
      <c r="D67" s="5" t="s">
        <v>533</v>
      </c>
      <c r="F67" s="5" t="s">
        <v>534</v>
      </c>
      <c r="G67" s="5" t="s">
        <v>535</v>
      </c>
      <c r="H67" s="5" t="s">
        <v>1017</v>
      </c>
      <c r="Q67" s="5" t="s">
        <v>470</v>
      </c>
      <c r="R67" s="5" t="s">
        <v>684</v>
      </c>
      <c r="S67" s="5">
        <v>70120201</v>
      </c>
      <c r="T67" s="5" t="s">
        <v>686</v>
      </c>
      <c r="U67" s="5">
        <v>37500</v>
      </c>
      <c r="V67" s="5">
        <v>37500</v>
      </c>
      <c r="W67" s="5" t="s">
        <v>474</v>
      </c>
      <c r="X67" s="6">
        <v>46174</v>
      </c>
      <c r="Y67" s="6">
        <v>46265</v>
      </c>
      <c r="Z67" s="10"/>
      <c r="AA67" s="10"/>
      <c r="AB67" s="5" t="s">
        <v>478</v>
      </c>
      <c r="AD67" s="5" t="s">
        <v>542</v>
      </c>
      <c r="AE67" s="5" t="s">
        <v>1026</v>
      </c>
      <c r="AF67" s="11">
        <v>46192</v>
      </c>
      <c r="AI67" s="5" t="s">
        <v>1027</v>
      </c>
      <c r="AJ67" s="5" t="s">
        <v>1028</v>
      </c>
      <c r="AK67" s="11">
        <v>46055</v>
      </c>
      <c r="AL67" s="5" t="s">
        <v>501</v>
      </c>
      <c r="AM67" s="5" t="s">
        <v>1029</v>
      </c>
    </row>
    <row r="68" spans="1:42" ht="15.75" customHeight="1" x14ac:dyDescent="0.3">
      <c r="A68" s="5">
        <v>63</v>
      </c>
      <c r="B68" s="5" t="s">
        <v>1030</v>
      </c>
      <c r="C68" s="5" t="s">
        <v>460</v>
      </c>
      <c r="D68" s="5" t="s">
        <v>533</v>
      </c>
      <c r="F68" s="5" t="s">
        <v>534</v>
      </c>
      <c r="G68" s="5" t="s">
        <v>535</v>
      </c>
      <c r="H68" s="5" t="s">
        <v>1017</v>
      </c>
      <c r="Q68" s="5" t="s">
        <v>470</v>
      </c>
      <c r="R68" s="5" t="s">
        <v>664</v>
      </c>
      <c r="S68" s="5">
        <v>70160101</v>
      </c>
      <c r="T68" s="5" t="s">
        <v>665</v>
      </c>
      <c r="U68" s="5">
        <v>37500</v>
      </c>
      <c r="V68" s="5">
        <v>8399.9951999999994</v>
      </c>
      <c r="W68" s="5" t="s">
        <v>474</v>
      </c>
      <c r="X68" s="6">
        <v>46174</v>
      </c>
      <c r="Y68" s="6">
        <v>46265</v>
      </c>
      <c r="Z68" s="10"/>
      <c r="AA68" s="10"/>
      <c r="AB68" s="5" t="s">
        <v>478</v>
      </c>
      <c r="AD68" s="5" t="s">
        <v>542</v>
      </c>
      <c r="AE68" s="5" t="s">
        <v>1031</v>
      </c>
      <c r="AF68" s="5" t="s">
        <v>1032</v>
      </c>
      <c r="AG68" s="5" t="s">
        <v>1033</v>
      </c>
      <c r="AH68" s="11">
        <v>46238</v>
      </c>
      <c r="AI68" s="5" t="s">
        <v>1034</v>
      </c>
      <c r="AJ68" s="5" t="s">
        <v>1035</v>
      </c>
      <c r="AK68" s="11">
        <v>46055</v>
      </c>
      <c r="AL68" s="5" t="s">
        <v>501</v>
      </c>
      <c r="AM68" s="5" t="s">
        <v>1036</v>
      </c>
    </row>
    <row r="69" spans="1:42" ht="15.75" customHeight="1" x14ac:dyDescent="0.3">
      <c r="A69" s="5">
        <v>64</v>
      </c>
      <c r="B69" s="5" t="s">
        <v>1037</v>
      </c>
      <c r="C69" s="5" t="s">
        <v>460</v>
      </c>
      <c r="D69" s="5" t="s">
        <v>533</v>
      </c>
      <c r="F69" s="5" t="s">
        <v>534</v>
      </c>
      <c r="G69" s="5" t="s">
        <v>535</v>
      </c>
      <c r="H69" s="5" t="s">
        <v>1017</v>
      </c>
      <c r="Q69" s="5" t="s">
        <v>470</v>
      </c>
      <c r="R69" s="5" t="s">
        <v>510</v>
      </c>
      <c r="S69" s="5">
        <v>70180103</v>
      </c>
      <c r="T69" s="5" t="s">
        <v>511</v>
      </c>
      <c r="U69" s="5">
        <v>37500</v>
      </c>
      <c r="V69" s="5">
        <v>37500</v>
      </c>
      <c r="W69" s="5" t="s">
        <v>474</v>
      </c>
      <c r="X69" s="6">
        <v>46174</v>
      </c>
      <c r="Y69" s="6">
        <v>46265</v>
      </c>
      <c r="Z69" s="10"/>
      <c r="AA69" s="10"/>
      <c r="AB69" s="5" t="s">
        <v>478</v>
      </c>
      <c r="AD69" s="5" t="s">
        <v>542</v>
      </c>
      <c r="AE69" s="5" t="s">
        <v>1038</v>
      </c>
      <c r="AF69" s="11">
        <v>46209</v>
      </c>
      <c r="AG69" s="5" t="s">
        <v>1039</v>
      </c>
      <c r="AH69" s="11">
        <v>46228</v>
      </c>
      <c r="AI69" s="5" t="s">
        <v>1040</v>
      </c>
      <c r="AJ69" s="5" t="s">
        <v>1041</v>
      </c>
      <c r="AK69" s="11">
        <v>46055</v>
      </c>
      <c r="AL69" s="5" t="s">
        <v>501</v>
      </c>
      <c r="AM69" s="5" t="s">
        <v>1029</v>
      </c>
    </row>
    <row r="70" spans="1:42" ht="15.75" customHeight="1" x14ac:dyDescent="0.3">
      <c r="A70" s="5">
        <v>65</v>
      </c>
      <c r="B70" s="5" t="s">
        <v>1042</v>
      </c>
      <c r="C70" s="5" t="s">
        <v>460</v>
      </c>
      <c r="D70" s="5" t="s">
        <v>485</v>
      </c>
      <c r="F70" s="5" t="s">
        <v>583</v>
      </c>
      <c r="G70" s="5" t="s">
        <v>584</v>
      </c>
      <c r="H70" s="5" t="s">
        <v>1043</v>
      </c>
      <c r="J70" s="5" t="s">
        <v>1044</v>
      </c>
      <c r="K70" s="5" t="s">
        <v>466</v>
      </c>
      <c r="L70" s="5">
        <f>SUM(M70:O70)</f>
        <v>10</v>
      </c>
      <c r="M70" s="5">
        <v>2</v>
      </c>
      <c r="N70" s="5">
        <v>5</v>
      </c>
      <c r="O70" s="5">
        <v>3</v>
      </c>
      <c r="Q70" s="5" t="s">
        <v>470</v>
      </c>
      <c r="R70" s="5" t="s">
        <v>684</v>
      </c>
      <c r="S70" s="5">
        <v>70120201</v>
      </c>
      <c r="T70" s="5" t="s">
        <v>686</v>
      </c>
      <c r="U70" s="5">
        <v>87000</v>
      </c>
      <c r="W70" s="5" t="s">
        <v>512</v>
      </c>
      <c r="X70" s="10"/>
      <c r="Y70" s="10"/>
      <c r="Z70" s="10"/>
      <c r="AA70" s="10"/>
      <c r="AB70" s="5" t="s">
        <v>711</v>
      </c>
      <c r="AD70" s="5" t="s">
        <v>496</v>
      </c>
      <c r="AI70" s="5" t="s">
        <v>1045</v>
      </c>
      <c r="AJ70" s="5" t="s">
        <v>1046</v>
      </c>
      <c r="AK70" s="11">
        <v>46055</v>
      </c>
      <c r="AL70" s="5" t="s">
        <v>501</v>
      </c>
      <c r="AM70" s="5" t="s">
        <v>1047</v>
      </c>
      <c r="AO70" s="5" t="s">
        <v>1048</v>
      </c>
      <c r="AP70" s="5" t="s">
        <v>1049</v>
      </c>
    </row>
    <row r="71" spans="1:42" ht="15.75" customHeight="1" x14ac:dyDescent="0.3">
      <c r="A71" s="5">
        <v>66</v>
      </c>
      <c r="B71" s="5" t="s">
        <v>1050</v>
      </c>
      <c r="C71" s="5" t="s">
        <v>460</v>
      </c>
      <c r="D71" s="5" t="s">
        <v>485</v>
      </c>
      <c r="F71" s="5" t="s">
        <v>583</v>
      </c>
      <c r="G71" s="5" t="s">
        <v>584</v>
      </c>
      <c r="H71" s="5" t="s">
        <v>1051</v>
      </c>
      <c r="Q71" s="5" t="s">
        <v>470</v>
      </c>
      <c r="R71" s="5" t="s">
        <v>664</v>
      </c>
      <c r="S71" s="5">
        <v>70160101</v>
      </c>
      <c r="T71" s="5" t="s">
        <v>665</v>
      </c>
      <c r="U71" s="5">
        <v>87000</v>
      </c>
      <c r="W71" s="5" t="s">
        <v>474</v>
      </c>
      <c r="X71" s="10"/>
      <c r="Y71" s="10"/>
      <c r="Z71" s="10"/>
      <c r="AA71" s="10"/>
      <c r="AB71" s="5" t="s">
        <v>711</v>
      </c>
      <c r="AD71" s="5" t="s">
        <v>496</v>
      </c>
      <c r="AI71" s="5" t="s">
        <v>1052</v>
      </c>
      <c r="AJ71" s="5" t="s">
        <v>1053</v>
      </c>
      <c r="AK71" s="11">
        <v>46055</v>
      </c>
      <c r="AL71" s="5" t="s">
        <v>501</v>
      </c>
      <c r="AM71" s="5" t="s">
        <v>1047</v>
      </c>
      <c r="AO71" s="5" t="s">
        <v>1048</v>
      </c>
      <c r="AP71" s="5" t="s">
        <v>1049</v>
      </c>
    </row>
    <row r="72" spans="1:42" ht="15.75" customHeight="1" x14ac:dyDescent="0.3">
      <c r="A72" s="5">
        <v>67</v>
      </c>
      <c r="B72" s="5" t="s">
        <v>1054</v>
      </c>
      <c r="C72" s="5" t="s">
        <v>460</v>
      </c>
      <c r="D72" s="5" t="s">
        <v>485</v>
      </c>
      <c r="F72" s="5" t="s">
        <v>583</v>
      </c>
      <c r="G72" s="5" t="s">
        <v>584</v>
      </c>
      <c r="H72" s="5" t="s">
        <v>1055</v>
      </c>
      <c r="Q72" s="5" t="s">
        <v>470</v>
      </c>
      <c r="R72" s="5" t="s">
        <v>774</v>
      </c>
      <c r="S72" s="5">
        <v>70110101</v>
      </c>
      <c r="T72" s="5" t="s">
        <v>775</v>
      </c>
      <c r="U72" s="5">
        <v>87000</v>
      </c>
      <c r="W72" s="5" t="s">
        <v>474</v>
      </c>
      <c r="X72" s="10"/>
      <c r="Y72" s="10"/>
      <c r="Z72" s="10"/>
      <c r="AA72" s="10"/>
      <c r="AB72" s="5" t="s">
        <v>711</v>
      </c>
      <c r="AD72" s="5" t="s">
        <v>496</v>
      </c>
      <c r="AI72" s="5" t="s">
        <v>1056</v>
      </c>
      <c r="AJ72" s="5" t="s">
        <v>1057</v>
      </c>
      <c r="AK72" s="11">
        <v>46055</v>
      </c>
      <c r="AL72" s="5" t="s">
        <v>501</v>
      </c>
      <c r="AM72" s="5" t="s">
        <v>1047</v>
      </c>
      <c r="AO72" s="5" t="s">
        <v>1048</v>
      </c>
      <c r="AP72" s="5" t="s">
        <v>1049</v>
      </c>
    </row>
    <row r="73" spans="1:42" ht="15.75" customHeight="1" x14ac:dyDescent="0.3">
      <c r="A73" s="5">
        <v>68</v>
      </c>
      <c r="B73" s="5" t="s">
        <v>1058</v>
      </c>
      <c r="C73" s="5" t="s">
        <v>460</v>
      </c>
      <c r="D73" s="5" t="s">
        <v>1059</v>
      </c>
      <c r="H73" s="5" t="s">
        <v>1060</v>
      </c>
      <c r="I73" s="5" t="s">
        <v>1061</v>
      </c>
      <c r="J73" s="5" t="s">
        <v>1062</v>
      </c>
      <c r="K73" s="5" t="s">
        <v>466</v>
      </c>
      <c r="L73" s="5">
        <f t="shared" ref="L73:L78" si="9">SUM(M73:O73)</f>
        <v>10</v>
      </c>
      <c r="M73" s="5">
        <v>4</v>
      </c>
      <c r="N73" s="5">
        <v>2</v>
      </c>
      <c r="O73" s="5">
        <v>4</v>
      </c>
      <c r="Q73" s="5" t="s">
        <v>470</v>
      </c>
      <c r="R73" s="5" t="s">
        <v>664</v>
      </c>
      <c r="S73" s="5">
        <v>70160101</v>
      </c>
      <c r="T73" s="5" t="s">
        <v>665</v>
      </c>
      <c r="U73" s="5">
        <v>5000</v>
      </c>
      <c r="W73" s="5" t="s">
        <v>512</v>
      </c>
      <c r="X73" s="6">
        <v>46174</v>
      </c>
      <c r="Y73" s="6">
        <v>46310</v>
      </c>
      <c r="Z73" s="10"/>
      <c r="AA73" s="10"/>
      <c r="AB73" s="5" t="s">
        <v>514</v>
      </c>
      <c r="AD73" s="5" t="s">
        <v>776</v>
      </c>
      <c r="AE73" s="5" t="s">
        <v>1063</v>
      </c>
      <c r="AF73" s="11">
        <v>46094</v>
      </c>
      <c r="AG73" s="5" t="s">
        <v>689</v>
      </c>
      <c r="AI73" s="5" t="s">
        <v>1064</v>
      </c>
      <c r="AJ73" s="5" t="s">
        <v>1065</v>
      </c>
      <c r="AK73" s="11">
        <v>46055</v>
      </c>
      <c r="AL73" s="5" t="s">
        <v>501</v>
      </c>
      <c r="AM73" s="5" t="s">
        <v>1066</v>
      </c>
    </row>
    <row r="74" spans="1:42" ht="15.75" customHeight="1" x14ac:dyDescent="0.3">
      <c r="A74" s="5">
        <v>69</v>
      </c>
      <c r="B74" s="5" t="s">
        <v>1067</v>
      </c>
      <c r="C74" s="5" t="s">
        <v>460</v>
      </c>
      <c r="D74" s="5" t="s">
        <v>1068</v>
      </c>
      <c r="H74" s="5" t="s">
        <v>1069</v>
      </c>
      <c r="I74" s="5" t="s">
        <v>1070</v>
      </c>
      <c r="J74" s="5" t="s">
        <v>1071</v>
      </c>
      <c r="K74" s="5" t="s">
        <v>466</v>
      </c>
      <c r="L74" s="5">
        <f t="shared" si="9"/>
        <v>11</v>
      </c>
      <c r="M74" s="5">
        <v>4</v>
      </c>
      <c r="N74" s="5">
        <v>4</v>
      </c>
      <c r="O74" s="5">
        <v>3</v>
      </c>
      <c r="P74" s="5" t="s">
        <v>1072</v>
      </c>
      <c r="Q74" s="5" t="s">
        <v>470</v>
      </c>
      <c r="R74" s="5" t="s">
        <v>684</v>
      </c>
      <c r="S74" s="5">
        <v>70120201</v>
      </c>
      <c r="T74" s="5" t="s">
        <v>686</v>
      </c>
      <c r="U74" s="5">
        <v>16000</v>
      </c>
      <c r="W74" s="5" t="s">
        <v>512</v>
      </c>
      <c r="X74" s="6">
        <v>46235</v>
      </c>
      <c r="Y74" s="6">
        <v>46356</v>
      </c>
      <c r="Z74" s="10"/>
      <c r="AA74" s="10"/>
      <c r="AB74" s="5" t="s">
        <v>531</v>
      </c>
      <c r="AD74" s="5" t="s">
        <v>480</v>
      </c>
    </row>
    <row r="75" spans="1:42" ht="15.75" customHeight="1" x14ac:dyDescent="0.3">
      <c r="A75" s="5">
        <v>70</v>
      </c>
      <c r="B75" s="5" t="s">
        <v>1073</v>
      </c>
      <c r="C75" s="5" t="s">
        <v>460</v>
      </c>
      <c r="D75" s="5" t="s">
        <v>1074</v>
      </c>
      <c r="H75" s="5" t="s">
        <v>1075</v>
      </c>
      <c r="I75" s="5" t="s">
        <v>1076</v>
      </c>
      <c r="J75" s="5" t="s">
        <v>1077</v>
      </c>
      <c r="K75" s="5" t="s">
        <v>466</v>
      </c>
      <c r="L75" s="5">
        <f t="shared" si="9"/>
        <v>13</v>
      </c>
      <c r="M75" s="5">
        <v>5</v>
      </c>
      <c r="N75" s="5">
        <v>5</v>
      </c>
      <c r="O75" s="5">
        <v>3</v>
      </c>
      <c r="P75" s="5" t="s">
        <v>1078</v>
      </c>
      <c r="Q75" s="5" t="s">
        <v>470</v>
      </c>
      <c r="R75" s="5" t="s">
        <v>559</v>
      </c>
      <c r="S75" s="5">
        <v>10110201</v>
      </c>
      <c r="T75" s="5" t="s">
        <v>614</v>
      </c>
      <c r="U75" s="5">
        <v>500000</v>
      </c>
      <c r="W75" s="5" t="s">
        <v>512</v>
      </c>
      <c r="X75" s="6">
        <v>46235</v>
      </c>
      <c r="Y75" s="6">
        <v>46356</v>
      </c>
      <c r="Z75" s="10"/>
      <c r="AA75" s="10"/>
      <c r="AB75" s="5" t="s">
        <v>514</v>
      </c>
      <c r="AD75" s="5" t="s">
        <v>480</v>
      </c>
      <c r="AO75" s="5" t="s">
        <v>1079</v>
      </c>
      <c r="AP75" s="5" t="s">
        <v>1080</v>
      </c>
    </row>
    <row r="76" spans="1:42" ht="15.75" customHeight="1" x14ac:dyDescent="0.3">
      <c r="A76" s="5">
        <v>71</v>
      </c>
      <c r="B76" s="5" t="s">
        <v>1081</v>
      </c>
      <c r="C76" s="5" t="s">
        <v>460</v>
      </c>
      <c r="D76" s="5" t="s">
        <v>1074</v>
      </c>
      <c r="H76" s="5" t="s">
        <v>1082</v>
      </c>
      <c r="I76" s="5" t="s">
        <v>1083</v>
      </c>
      <c r="J76" s="5" t="s">
        <v>1084</v>
      </c>
      <c r="K76" s="5" t="s">
        <v>466</v>
      </c>
      <c r="L76" s="5">
        <f t="shared" si="9"/>
        <v>13</v>
      </c>
      <c r="M76" s="5">
        <v>5</v>
      </c>
      <c r="N76" s="5">
        <v>5</v>
      </c>
      <c r="O76" s="5">
        <v>3</v>
      </c>
      <c r="P76" s="5" t="s">
        <v>1085</v>
      </c>
      <c r="Q76" s="5" t="s">
        <v>470</v>
      </c>
      <c r="R76" s="5" t="s">
        <v>559</v>
      </c>
      <c r="S76" s="5">
        <v>10110102</v>
      </c>
      <c r="T76" s="5" t="s">
        <v>716</v>
      </c>
      <c r="U76" s="5">
        <v>300000</v>
      </c>
      <c r="W76" s="5" t="s">
        <v>512</v>
      </c>
      <c r="X76" s="6">
        <v>46235</v>
      </c>
      <c r="Y76" s="6">
        <v>46304</v>
      </c>
      <c r="Z76" s="10"/>
      <c r="AA76" s="10"/>
      <c r="AB76" s="5" t="s">
        <v>531</v>
      </c>
      <c r="AD76" s="5" t="s">
        <v>480</v>
      </c>
      <c r="AM76" s="5" t="s">
        <v>717</v>
      </c>
    </row>
    <row r="77" spans="1:42" ht="15.75" customHeight="1" x14ac:dyDescent="0.3">
      <c r="A77" s="5">
        <v>72</v>
      </c>
      <c r="B77" s="5" t="s">
        <v>1086</v>
      </c>
      <c r="C77" s="5" t="s">
        <v>460</v>
      </c>
      <c r="D77" s="5" t="s">
        <v>770</v>
      </c>
      <c r="H77" s="5" t="s">
        <v>1087</v>
      </c>
      <c r="I77" s="5" t="s">
        <v>1088</v>
      </c>
      <c r="J77" s="5" t="s">
        <v>1089</v>
      </c>
      <c r="K77" s="5" t="s">
        <v>466</v>
      </c>
      <c r="L77" s="5">
        <f t="shared" si="9"/>
        <v>9</v>
      </c>
      <c r="M77" s="5">
        <v>1</v>
      </c>
      <c r="N77" s="5">
        <v>3</v>
      </c>
      <c r="O77" s="5">
        <v>5</v>
      </c>
      <c r="Q77" s="5" t="s">
        <v>470</v>
      </c>
      <c r="R77" s="5" t="s">
        <v>684</v>
      </c>
      <c r="S77" s="5">
        <v>70120201</v>
      </c>
      <c r="T77" s="5" t="s">
        <v>686</v>
      </c>
      <c r="U77" s="5">
        <v>7500</v>
      </c>
      <c r="V77" s="5">
        <v>3156.24</v>
      </c>
      <c r="W77" s="5" t="s">
        <v>474</v>
      </c>
      <c r="X77" s="6">
        <v>46082</v>
      </c>
      <c r="Y77" s="6">
        <v>46082</v>
      </c>
      <c r="Z77" s="6">
        <v>46082</v>
      </c>
      <c r="AA77" s="6">
        <v>46111</v>
      </c>
      <c r="AB77" s="5" t="s">
        <v>478</v>
      </c>
      <c r="AC77" s="5" t="s">
        <v>478</v>
      </c>
      <c r="AD77" s="5" t="s">
        <v>776</v>
      </c>
      <c r="AE77" s="5" t="s">
        <v>1090</v>
      </c>
      <c r="AF77" s="11">
        <v>46062</v>
      </c>
      <c r="AG77" s="5" t="s">
        <v>1091</v>
      </c>
      <c r="AH77" s="11">
        <v>46076</v>
      </c>
      <c r="AI77" s="5" t="s">
        <v>1092</v>
      </c>
      <c r="AJ77" s="5" t="s">
        <v>1093</v>
      </c>
      <c r="AK77" s="11">
        <v>46055</v>
      </c>
      <c r="AL77" s="5" t="s">
        <v>501</v>
      </c>
    </row>
    <row r="78" spans="1:42" ht="15.75" customHeight="1" x14ac:dyDescent="0.3">
      <c r="A78" s="5">
        <v>73</v>
      </c>
      <c r="B78" s="5" t="s">
        <v>1094</v>
      </c>
      <c r="C78" s="5" t="s">
        <v>460</v>
      </c>
      <c r="D78" s="5" t="s">
        <v>770</v>
      </c>
      <c r="H78" s="5" t="s">
        <v>1095</v>
      </c>
      <c r="I78" s="5" t="s">
        <v>1096</v>
      </c>
      <c r="J78" s="5" t="s">
        <v>1097</v>
      </c>
      <c r="K78" s="5" t="s">
        <v>466</v>
      </c>
      <c r="L78" s="5">
        <f t="shared" si="9"/>
        <v>9</v>
      </c>
      <c r="M78" s="5">
        <v>2</v>
      </c>
      <c r="N78" s="5">
        <v>3</v>
      </c>
      <c r="O78" s="5">
        <v>4</v>
      </c>
      <c r="Q78" s="5" t="s">
        <v>470</v>
      </c>
      <c r="R78" s="5" t="s">
        <v>684</v>
      </c>
      <c r="S78" s="5">
        <v>70120201</v>
      </c>
      <c r="T78" s="5" t="s">
        <v>686</v>
      </c>
      <c r="U78" s="5">
        <v>7500</v>
      </c>
      <c r="V78" s="5">
        <v>16040.18</v>
      </c>
      <c r="W78" s="5" t="s">
        <v>474</v>
      </c>
      <c r="X78" s="6">
        <v>46082</v>
      </c>
      <c r="Y78" s="6">
        <v>46082</v>
      </c>
      <c r="Z78" s="6">
        <v>46082</v>
      </c>
      <c r="AA78" s="6">
        <v>46111</v>
      </c>
      <c r="AB78" s="5" t="s">
        <v>478</v>
      </c>
      <c r="AC78" s="5" t="s">
        <v>478</v>
      </c>
      <c r="AD78" s="5" t="s">
        <v>776</v>
      </c>
      <c r="AE78" s="5" t="s">
        <v>1098</v>
      </c>
      <c r="AF78" s="11">
        <v>46062</v>
      </c>
      <c r="AG78" s="5" t="s">
        <v>1099</v>
      </c>
      <c r="AH78" s="11">
        <v>46080</v>
      </c>
      <c r="AI78" s="5" t="s">
        <v>1100</v>
      </c>
      <c r="AJ78" s="5" t="s">
        <v>1101</v>
      </c>
      <c r="AK78" s="11">
        <v>46055</v>
      </c>
      <c r="AL78" s="5" t="s">
        <v>501</v>
      </c>
    </row>
    <row r="79" spans="1:42" ht="15.75" customHeight="1" x14ac:dyDescent="0.3">
      <c r="A79" s="5">
        <v>74</v>
      </c>
      <c r="B79" s="5" t="s">
        <v>1102</v>
      </c>
      <c r="C79" s="5" t="s">
        <v>460</v>
      </c>
      <c r="D79" s="5" t="s">
        <v>707</v>
      </c>
      <c r="H79" s="5" t="s">
        <v>1103</v>
      </c>
      <c r="J79" s="5" t="s">
        <v>1104</v>
      </c>
      <c r="Q79" s="5" t="s">
        <v>470</v>
      </c>
      <c r="R79" s="5" t="s">
        <v>559</v>
      </c>
      <c r="S79" s="5">
        <v>10110205</v>
      </c>
      <c r="T79" s="5" t="s">
        <v>850</v>
      </c>
      <c r="U79" s="5">
        <v>50000</v>
      </c>
      <c r="V79" s="5">
        <v>42050.95</v>
      </c>
      <c r="W79" s="5" t="s">
        <v>512</v>
      </c>
      <c r="X79" s="6">
        <v>46235</v>
      </c>
      <c r="Y79" s="6">
        <v>46234</v>
      </c>
      <c r="Z79" s="10"/>
      <c r="AA79" s="10"/>
      <c r="AB79" s="5" t="s">
        <v>478</v>
      </c>
      <c r="AD79" s="5" t="s">
        <v>480</v>
      </c>
      <c r="AI79" s="5" t="s">
        <v>1105</v>
      </c>
    </row>
    <row r="80" spans="1:42" ht="15.75" customHeight="1" x14ac:dyDescent="0.3">
      <c r="A80" s="5">
        <v>75</v>
      </c>
      <c r="B80" s="5" t="s">
        <v>1106</v>
      </c>
      <c r="C80" s="5" t="s">
        <v>460</v>
      </c>
      <c r="D80" s="5" t="s">
        <v>707</v>
      </c>
      <c r="H80" s="5" t="s">
        <v>1103</v>
      </c>
      <c r="J80" s="5" t="s">
        <v>1104</v>
      </c>
      <c r="Q80" s="5" t="s">
        <v>470</v>
      </c>
      <c r="R80" s="5" t="s">
        <v>559</v>
      </c>
      <c r="S80" s="5">
        <v>10110201</v>
      </c>
      <c r="T80" s="5" t="s">
        <v>614</v>
      </c>
      <c r="U80" s="5">
        <v>50000</v>
      </c>
      <c r="V80" s="5">
        <v>47954.78</v>
      </c>
      <c r="W80" s="5" t="s">
        <v>512</v>
      </c>
      <c r="X80" s="6">
        <v>46235</v>
      </c>
      <c r="Y80" s="6">
        <v>46234</v>
      </c>
      <c r="Z80" s="10"/>
      <c r="AA80" s="10"/>
      <c r="AB80" s="5" t="s">
        <v>478</v>
      </c>
      <c r="AD80" s="5" t="s">
        <v>480</v>
      </c>
      <c r="AI80" s="5" t="s">
        <v>482</v>
      </c>
    </row>
    <row r="81" spans="1:41" ht="15.75" customHeight="1" x14ac:dyDescent="0.3">
      <c r="A81" s="5">
        <v>76</v>
      </c>
      <c r="B81" s="5" t="s">
        <v>1107</v>
      </c>
      <c r="C81" s="5" t="s">
        <v>460</v>
      </c>
      <c r="D81" s="5" t="s">
        <v>707</v>
      </c>
      <c r="F81" s="5" t="s">
        <v>1108</v>
      </c>
      <c r="H81" s="5" t="s">
        <v>1103</v>
      </c>
      <c r="I81" s="5" t="s">
        <v>1109</v>
      </c>
      <c r="J81" s="5" t="s">
        <v>1104</v>
      </c>
      <c r="K81" s="5" t="s">
        <v>466</v>
      </c>
      <c r="L81" s="5">
        <f>SUM(M81:O81)</f>
        <v>11</v>
      </c>
      <c r="M81" s="5">
        <v>5</v>
      </c>
      <c r="N81" s="5">
        <v>5</v>
      </c>
      <c r="O81" s="5">
        <v>1</v>
      </c>
      <c r="P81" s="5" t="s">
        <v>466</v>
      </c>
      <c r="Q81" s="5" t="s">
        <v>470</v>
      </c>
      <c r="R81" s="5" t="s">
        <v>559</v>
      </c>
      <c r="S81" s="5">
        <v>10110102</v>
      </c>
      <c r="T81" s="5" t="s">
        <v>716</v>
      </c>
      <c r="U81" s="5">
        <v>50000</v>
      </c>
      <c r="V81" s="5">
        <v>27769.98</v>
      </c>
      <c r="W81" s="5" t="s">
        <v>512</v>
      </c>
      <c r="X81" s="6">
        <v>46235</v>
      </c>
      <c r="Y81" s="6">
        <v>46234</v>
      </c>
      <c r="Z81" s="10"/>
      <c r="AA81" s="10"/>
      <c r="AB81" s="5" t="s">
        <v>478</v>
      </c>
      <c r="AD81" s="5" t="s">
        <v>480</v>
      </c>
      <c r="AI81" s="5" t="s">
        <v>1110</v>
      </c>
      <c r="AM81" s="5" t="s">
        <v>717</v>
      </c>
    </row>
    <row r="82" spans="1:41" ht="15.75" customHeight="1" x14ac:dyDescent="0.3">
      <c r="A82" s="5">
        <v>77</v>
      </c>
      <c r="B82" s="5" t="s">
        <v>1111</v>
      </c>
      <c r="C82" s="5" t="s">
        <v>460</v>
      </c>
      <c r="D82" s="5" t="s">
        <v>1112</v>
      </c>
      <c r="F82" s="5" t="s">
        <v>1108</v>
      </c>
      <c r="H82" s="5" t="s">
        <v>1113</v>
      </c>
      <c r="Q82" s="5" t="s">
        <v>470</v>
      </c>
      <c r="R82" s="5" t="s">
        <v>649</v>
      </c>
      <c r="S82" s="5">
        <v>10220106</v>
      </c>
      <c r="T82" s="5" t="s">
        <v>651</v>
      </c>
      <c r="U82" s="5">
        <v>18000</v>
      </c>
      <c r="V82" s="5">
        <v>15955.15</v>
      </c>
      <c r="W82" s="5" t="s">
        <v>512</v>
      </c>
      <c r="X82" s="6">
        <v>46082</v>
      </c>
      <c r="Y82" s="6">
        <v>46111</v>
      </c>
      <c r="Z82" s="6">
        <v>46082</v>
      </c>
      <c r="AA82" s="6">
        <v>46111</v>
      </c>
      <c r="AB82" s="5" t="s">
        <v>478</v>
      </c>
      <c r="AC82" s="5" t="s">
        <v>478</v>
      </c>
      <c r="AD82" s="5" t="s">
        <v>776</v>
      </c>
      <c r="AE82" s="5" t="s">
        <v>1114</v>
      </c>
      <c r="AF82" s="11">
        <v>46063</v>
      </c>
      <c r="AG82" s="5" t="s">
        <v>1115</v>
      </c>
      <c r="AH82" s="11">
        <v>46079</v>
      </c>
      <c r="AI82" s="5" t="s">
        <v>1116</v>
      </c>
      <c r="AJ82" s="5" t="s">
        <v>1117</v>
      </c>
      <c r="AK82" s="11">
        <v>46055</v>
      </c>
      <c r="AL82" s="5" t="s">
        <v>501</v>
      </c>
    </row>
    <row r="83" spans="1:41" ht="15.75" customHeight="1" x14ac:dyDescent="0.3">
      <c r="A83" s="5">
        <v>78</v>
      </c>
      <c r="B83" s="5" t="s">
        <v>1118</v>
      </c>
      <c r="C83" s="5" t="s">
        <v>460</v>
      </c>
      <c r="D83" s="5" t="s">
        <v>582</v>
      </c>
      <c r="F83" s="5" t="s">
        <v>583</v>
      </c>
      <c r="G83" s="5" t="s">
        <v>584</v>
      </c>
      <c r="H83" s="5" t="s">
        <v>1119</v>
      </c>
      <c r="I83" s="5" t="s">
        <v>1120</v>
      </c>
      <c r="J83" s="5" t="s">
        <v>1121</v>
      </c>
      <c r="K83" s="5" t="s">
        <v>466</v>
      </c>
      <c r="L83" s="5">
        <f t="shared" ref="L83:L86" si="10">SUM(M83:O83)</f>
        <v>12</v>
      </c>
      <c r="M83" s="5">
        <v>4</v>
      </c>
      <c r="N83" s="5">
        <v>4</v>
      </c>
      <c r="O83" s="5">
        <v>4</v>
      </c>
      <c r="Q83" s="5" t="s">
        <v>470</v>
      </c>
      <c r="R83" s="5" t="s">
        <v>684</v>
      </c>
      <c r="S83" s="5">
        <v>70120201</v>
      </c>
      <c r="T83" s="5" t="s">
        <v>686</v>
      </c>
      <c r="U83" s="5">
        <v>64000</v>
      </c>
      <c r="V83" s="5">
        <v>80868.7</v>
      </c>
      <c r="W83" s="5" t="s">
        <v>512</v>
      </c>
      <c r="X83" s="6">
        <v>46113</v>
      </c>
      <c r="Y83" s="6">
        <v>46203</v>
      </c>
      <c r="Z83" s="6">
        <v>46113</v>
      </c>
      <c r="AA83" s="6">
        <v>46162</v>
      </c>
      <c r="AB83" s="5" t="s">
        <v>478</v>
      </c>
      <c r="AC83" s="5" t="s">
        <v>478</v>
      </c>
      <c r="AD83" s="5" t="s">
        <v>496</v>
      </c>
      <c r="AE83" s="5" t="s">
        <v>1122</v>
      </c>
      <c r="AF83" s="11">
        <v>46064</v>
      </c>
      <c r="AG83" s="5" t="s">
        <v>1123</v>
      </c>
      <c r="AH83" s="11">
        <v>46090</v>
      </c>
      <c r="AI83" s="5" t="s">
        <v>1124</v>
      </c>
      <c r="AJ83" s="5" t="s">
        <v>1125</v>
      </c>
      <c r="AK83" s="11">
        <v>46055</v>
      </c>
      <c r="AL83" s="5" t="s">
        <v>501</v>
      </c>
      <c r="AM83" s="5" t="s">
        <v>1126</v>
      </c>
    </row>
    <row r="84" spans="1:41" ht="15.75" customHeight="1" x14ac:dyDescent="0.3">
      <c r="A84" s="5">
        <v>79</v>
      </c>
      <c r="B84" s="5" t="s">
        <v>1127</v>
      </c>
      <c r="C84" s="5" t="s">
        <v>460</v>
      </c>
      <c r="D84" s="5" t="s">
        <v>485</v>
      </c>
      <c r="F84" s="5" t="s">
        <v>486</v>
      </c>
      <c r="G84" s="5" t="s">
        <v>487</v>
      </c>
      <c r="H84" s="5" t="s">
        <v>1128</v>
      </c>
      <c r="I84" s="5" t="s">
        <v>1129</v>
      </c>
      <c r="J84" s="5" t="s">
        <v>1130</v>
      </c>
      <c r="K84" s="5" t="s">
        <v>466</v>
      </c>
      <c r="L84" s="5">
        <f t="shared" si="10"/>
        <v>8</v>
      </c>
      <c r="M84" s="5">
        <v>2</v>
      </c>
      <c r="N84" s="5">
        <v>5</v>
      </c>
      <c r="O84" s="5">
        <v>1</v>
      </c>
      <c r="Q84" s="5" t="s">
        <v>470</v>
      </c>
      <c r="R84" s="5" t="s">
        <v>559</v>
      </c>
      <c r="S84" s="5">
        <v>10110205</v>
      </c>
      <c r="T84" s="5" t="s">
        <v>850</v>
      </c>
      <c r="U84" s="5">
        <v>0</v>
      </c>
      <c r="V84" s="5">
        <v>0</v>
      </c>
      <c r="W84" s="5" t="s">
        <v>562</v>
      </c>
      <c r="X84" s="10"/>
      <c r="Y84" s="10"/>
      <c r="Z84" s="10"/>
      <c r="AA84" s="10"/>
      <c r="AB84" s="5" t="s">
        <v>711</v>
      </c>
      <c r="AD84" s="5" t="s">
        <v>496</v>
      </c>
      <c r="AI84" s="5" t="s">
        <v>1131</v>
      </c>
      <c r="AJ84" s="5" t="s">
        <v>1132</v>
      </c>
      <c r="AK84" s="11">
        <v>46055</v>
      </c>
      <c r="AL84" s="5" t="s">
        <v>501</v>
      </c>
      <c r="AM84" s="5" t="s">
        <v>1133</v>
      </c>
      <c r="AO84" s="5" t="s">
        <v>711</v>
      </c>
    </row>
    <row r="85" spans="1:41" ht="15.75" customHeight="1" x14ac:dyDescent="0.3">
      <c r="A85" s="5">
        <v>80</v>
      </c>
      <c r="B85" s="5" t="s">
        <v>1134</v>
      </c>
      <c r="C85" s="5" t="s">
        <v>460</v>
      </c>
      <c r="D85" s="5" t="s">
        <v>485</v>
      </c>
      <c r="F85" s="5" t="s">
        <v>486</v>
      </c>
      <c r="G85" s="5" t="s">
        <v>487</v>
      </c>
      <c r="H85" s="5" t="s">
        <v>1135</v>
      </c>
      <c r="I85" s="5" t="s">
        <v>1136</v>
      </c>
      <c r="J85" s="5" t="s">
        <v>1137</v>
      </c>
      <c r="K85" s="5" t="s">
        <v>466</v>
      </c>
      <c r="L85" s="5">
        <f t="shared" si="10"/>
        <v>8</v>
      </c>
      <c r="M85" s="5">
        <v>2</v>
      </c>
      <c r="N85" s="5">
        <v>5</v>
      </c>
      <c r="O85" s="5">
        <v>1</v>
      </c>
      <c r="Q85" s="5" t="s">
        <v>470</v>
      </c>
      <c r="R85" s="5" t="s">
        <v>559</v>
      </c>
      <c r="S85" s="5">
        <v>10110205</v>
      </c>
      <c r="T85" s="5" t="s">
        <v>850</v>
      </c>
      <c r="U85" s="5">
        <v>59000</v>
      </c>
      <c r="V85" s="5">
        <v>23151.13</v>
      </c>
      <c r="W85" s="5" t="s">
        <v>562</v>
      </c>
      <c r="X85" s="6">
        <v>46082</v>
      </c>
      <c r="Y85" s="6">
        <v>46203</v>
      </c>
      <c r="Z85" s="6">
        <v>46082</v>
      </c>
      <c r="AA85" s="6">
        <v>46167</v>
      </c>
      <c r="AB85" s="5" t="s">
        <v>478</v>
      </c>
      <c r="AC85" s="5" t="s">
        <v>478</v>
      </c>
      <c r="AD85" s="5" t="s">
        <v>496</v>
      </c>
      <c r="AE85" s="5" t="s">
        <v>1138</v>
      </c>
      <c r="AF85" s="5" t="s">
        <v>1139</v>
      </c>
      <c r="AG85" s="5" t="s">
        <v>1140</v>
      </c>
      <c r="AH85" s="5" t="s">
        <v>1141</v>
      </c>
      <c r="AI85" s="5" t="s">
        <v>1142</v>
      </c>
      <c r="AJ85" s="5" t="s">
        <v>1143</v>
      </c>
      <c r="AK85" s="11">
        <v>46055</v>
      </c>
      <c r="AL85" s="5" t="s">
        <v>501</v>
      </c>
    </row>
    <row r="86" spans="1:41" ht="15.75" customHeight="1" x14ac:dyDescent="0.3">
      <c r="A86" s="5">
        <v>81</v>
      </c>
      <c r="B86" s="5" t="s">
        <v>1144</v>
      </c>
      <c r="C86" s="5" t="s">
        <v>460</v>
      </c>
      <c r="D86" s="5" t="s">
        <v>533</v>
      </c>
      <c r="F86" s="5" t="s">
        <v>534</v>
      </c>
      <c r="G86" s="5" t="s">
        <v>535</v>
      </c>
      <c r="H86" s="5" t="s">
        <v>1145</v>
      </c>
      <c r="I86" s="5" t="s">
        <v>1146</v>
      </c>
      <c r="J86" s="5" t="s">
        <v>1147</v>
      </c>
      <c r="K86" s="5" t="s">
        <v>466</v>
      </c>
      <c r="L86" s="5">
        <f t="shared" si="10"/>
        <v>12</v>
      </c>
      <c r="M86" s="5">
        <v>5</v>
      </c>
      <c r="N86" s="5">
        <v>5</v>
      </c>
      <c r="O86" s="5">
        <v>2</v>
      </c>
      <c r="Q86" s="5" t="s">
        <v>470</v>
      </c>
      <c r="R86" s="5" t="s">
        <v>559</v>
      </c>
      <c r="S86" s="5">
        <v>10110102</v>
      </c>
      <c r="T86" s="5" t="s">
        <v>716</v>
      </c>
      <c r="U86" s="5">
        <v>20000</v>
      </c>
      <c r="V86" s="5">
        <v>15064.89</v>
      </c>
      <c r="W86" s="5" t="s">
        <v>512</v>
      </c>
      <c r="X86" s="6">
        <v>46188</v>
      </c>
      <c r="Y86" s="6">
        <v>46310</v>
      </c>
      <c r="Z86" s="6">
        <v>46203</v>
      </c>
      <c r="AA86" s="10"/>
      <c r="AB86" s="5" t="s">
        <v>514</v>
      </c>
      <c r="AD86" s="5" t="s">
        <v>1148</v>
      </c>
      <c r="AE86" s="5" t="s">
        <v>1149</v>
      </c>
      <c r="AF86" s="11">
        <v>46168</v>
      </c>
      <c r="AG86" s="5" t="s">
        <v>1150</v>
      </c>
      <c r="AH86" s="5" t="s">
        <v>1151</v>
      </c>
      <c r="AI86" s="5" t="s">
        <v>1152</v>
      </c>
      <c r="AJ86" s="5" t="s">
        <v>1153</v>
      </c>
      <c r="AK86" s="11">
        <v>46055</v>
      </c>
      <c r="AL86" s="5" t="s">
        <v>501</v>
      </c>
      <c r="AM86" s="5" t="s">
        <v>1154</v>
      </c>
    </row>
    <row r="87" spans="1:41" ht="15.75" customHeight="1" x14ac:dyDescent="0.3">
      <c r="A87" s="5">
        <v>82</v>
      </c>
      <c r="B87" s="5" t="s">
        <v>1155</v>
      </c>
      <c r="C87" s="5" t="s">
        <v>460</v>
      </c>
      <c r="D87" s="5" t="s">
        <v>1156</v>
      </c>
      <c r="F87" s="5" t="s">
        <v>534</v>
      </c>
      <c r="G87" s="5" t="s">
        <v>535</v>
      </c>
      <c r="H87" s="5" t="s">
        <v>1157</v>
      </c>
      <c r="J87" s="5" t="s">
        <v>1158</v>
      </c>
      <c r="Q87" s="5" t="s">
        <v>470</v>
      </c>
      <c r="R87" s="5" t="s">
        <v>471</v>
      </c>
      <c r="S87" s="5">
        <v>10220110</v>
      </c>
      <c r="T87" s="5" t="s">
        <v>472</v>
      </c>
      <c r="U87" s="5">
        <v>98500</v>
      </c>
      <c r="W87" s="5" t="s">
        <v>512</v>
      </c>
      <c r="X87" s="6">
        <v>46174</v>
      </c>
      <c r="Y87" s="6">
        <v>46295</v>
      </c>
      <c r="Z87" s="10"/>
      <c r="AA87" s="10"/>
      <c r="AB87" s="5" t="s">
        <v>514</v>
      </c>
      <c r="AD87" s="5" t="s">
        <v>1148</v>
      </c>
      <c r="AE87" s="5" t="s">
        <v>1159</v>
      </c>
      <c r="AF87" s="11">
        <v>46254</v>
      </c>
      <c r="AI87" s="5" t="s">
        <v>1160</v>
      </c>
      <c r="AJ87" s="5" t="s">
        <v>1161</v>
      </c>
      <c r="AK87" s="11">
        <v>46055</v>
      </c>
      <c r="AL87" s="5" t="s">
        <v>501</v>
      </c>
      <c r="AM87" s="5" t="s">
        <v>1162</v>
      </c>
    </row>
    <row r="88" spans="1:41" ht="15.75" customHeight="1" x14ac:dyDescent="0.3">
      <c r="A88" s="5">
        <v>83</v>
      </c>
      <c r="B88" s="5" t="s">
        <v>1163</v>
      </c>
      <c r="C88" s="5" t="s">
        <v>460</v>
      </c>
      <c r="D88" s="5" t="s">
        <v>1156</v>
      </c>
      <c r="F88" s="5" t="s">
        <v>534</v>
      </c>
      <c r="G88" s="5" t="s">
        <v>535</v>
      </c>
      <c r="H88" s="5" t="s">
        <v>1164</v>
      </c>
      <c r="I88" s="5" t="s">
        <v>1165</v>
      </c>
      <c r="J88" s="5" t="s">
        <v>1158</v>
      </c>
      <c r="K88" s="5" t="s">
        <v>466</v>
      </c>
      <c r="L88" s="5">
        <f t="shared" ref="L88:L91" si="11">SUM(M88:O88)</f>
        <v>11</v>
      </c>
      <c r="M88" s="5">
        <v>5</v>
      </c>
      <c r="N88" s="5">
        <v>5</v>
      </c>
      <c r="O88" s="5">
        <v>1</v>
      </c>
      <c r="Q88" s="5" t="s">
        <v>470</v>
      </c>
      <c r="R88" s="5" t="s">
        <v>559</v>
      </c>
      <c r="S88" s="5">
        <v>10110102</v>
      </c>
      <c r="T88" s="5" t="s">
        <v>716</v>
      </c>
      <c r="U88" s="5">
        <v>98500</v>
      </c>
      <c r="V88" s="5">
        <v>78800.161200000002</v>
      </c>
      <c r="W88" s="5" t="s">
        <v>512</v>
      </c>
      <c r="X88" s="6">
        <v>46174</v>
      </c>
      <c r="Y88" s="6">
        <v>46310</v>
      </c>
      <c r="Z88" s="6">
        <v>46137</v>
      </c>
      <c r="AA88" s="10"/>
      <c r="AB88" s="5" t="s">
        <v>514</v>
      </c>
      <c r="AD88" s="5" t="s">
        <v>1148</v>
      </c>
      <c r="AE88" s="5" t="s">
        <v>1166</v>
      </c>
      <c r="AF88" s="11">
        <v>46132</v>
      </c>
      <c r="AG88" s="5" t="s">
        <v>1167</v>
      </c>
      <c r="AH88" s="5" t="s">
        <v>1168</v>
      </c>
      <c r="AI88" s="5" t="s">
        <v>1169</v>
      </c>
      <c r="AJ88" s="5" t="s">
        <v>1170</v>
      </c>
      <c r="AK88" s="11">
        <v>46055</v>
      </c>
      <c r="AL88" s="5" t="s">
        <v>501</v>
      </c>
      <c r="AM88" s="5" t="s">
        <v>1171</v>
      </c>
    </row>
    <row r="89" spans="1:41" ht="15.75" customHeight="1" x14ac:dyDescent="0.3">
      <c r="A89" s="5">
        <v>84</v>
      </c>
      <c r="B89" s="5" t="s">
        <v>1172</v>
      </c>
      <c r="C89" s="5" t="s">
        <v>460</v>
      </c>
      <c r="D89" s="5" t="s">
        <v>607</v>
      </c>
      <c r="H89" s="5" t="s">
        <v>1173</v>
      </c>
      <c r="I89" s="5" t="s">
        <v>1174</v>
      </c>
      <c r="J89" s="5" t="s">
        <v>1175</v>
      </c>
      <c r="K89" s="5" t="s">
        <v>466</v>
      </c>
      <c r="L89" s="5">
        <f t="shared" si="11"/>
        <v>9</v>
      </c>
      <c r="M89" s="5">
        <v>3</v>
      </c>
      <c r="N89" s="5">
        <v>5</v>
      </c>
      <c r="O89" s="5">
        <v>1</v>
      </c>
      <c r="Q89" s="5" t="s">
        <v>470</v>
      </c>
      <c r="R89" s="5" t="s">
        <v>559</v>
      </c>
      <c r="S89" s="5">
        <v>10110201</v>
      </c>
      <c r="T89" s="5" t="s">
        <v>614</v>
      </c>
      <c r="U89" s="5">
        <v>30000</v>
      </c>
      <c r="V89" s="5">
        <v>9779.77</v>
      </c>
      <c r="W89" s="5" t="s">
        <v>474</v>
      </c>
      <c r="X89" s="6">
        <v>46082</v>
      </c>
      <c r="Y89" s="6">
        <v>46082</v>
      </c>
      <c r="Z89" s="6">
        <v>46082</v>
      </c>
      <c r="AA89" s="6">
        <v>46111</v>
      </c>
      <c r="AB89" s="5" t="s">
        <v>478</v>
      </c>
      <c r="AC89" s="5" t="s">
        <v>478</v>
      </c>
      <c r="AD89" s="5" t="s">
        <v>496</v>
      </c>
      <c r="AE89" s="5" t="s">
        <v>1176</v>
      </c>
      <c r="AF89" s="11">
        <v>46091</v>
      </c>
      <c r="AG89" s="5" t="s">
        <v>1177</v>
      </c>
      <c r="AH89" s="11">
        <v>46098</v>
      </c>
      <c r="AI89" s="5" t="s">
        <v>1178</v>
      </c>
      <c r="AJ89" s="5" t="s">
        <v>1179</v>
      </c>
      <c r="AK89" s="11">
        <v>46055</v>
      </c>
      <c r="AL89" s="5" t="s">
        <v>501</v>
      </c>
      <c r="AM89" s="5" t="s">
        <v>1180</v>
      </c>
    </row>
    <row r="90" spans="1:41" ht="15.75" customHeight="1" x14ac:dyDescent="0.3">
      <c r="A90" s="5">
        <v>85</v>
      </c>
      <c r="B90" s="5" t="s">
        <v>1181</v>
      </c>
      <c r="C90" s="5" t="s">
        <v>460</v>
      </c>
      <c r="D90" s="5" t="s">
        <v>607</v>
      </c>
      <c r="H90" s="5" t="s">
        <v>1182</v>
      </c>
      <c r="I90" s="5" t="s">
        <v>1174</v>
      </c>
      <c r="J90" s="5" t="s">
        <v>1183</v>
      </c>
      <c r="K90" s="5" t="s">
        <v>466</v>
      </c>
      <c r="L90" s="5">
        <f t="shared" si="11"/>
        <v>9</v>
      </c>
      <c r="M90" s="5">
        <v>3</v>
      </c>
      <c r="N90" s="5">
        <v>5</v>
      </c>
      <c r="O90" s="5">
        <v>1</v>
      </c>
      <c r="Q90" s="5" t="s">
        <v>470</v>
      </c>
      <c r="R90" s="5" t="s">
        <v>559</v>
      </c>
      <c r="S90" s="5">
        <v>10110201</v>
      </c>
      <c r="T90" s="5" t="s">
        <v>614</v>
      </c>
      <c r="U90" s="5">
        <v>30000</v>
      </c>
      <c r="V90" s="5">
        <v>22497.759999999998</v>
      </c>
      <c r="W90" s="5" t="s">
        <v>474</v>
      </c>
      <c r="X90" s="6">
        <v>46082</v>
      </c>
      <c r="Y90" s="6">
        <v>46082</v>
      </c>
      <c r="Z90" s="6">
        <v>46082</v>
      </c>
      <c r="AA90" s="6">
        <v>46111</v>
      </c>
      <c r="AB90" s="5" t="s">
        <v>478</v>
      </c>
      <c r="AC90" s="5" t="s">
        <v>478</v>
      </c>
      <c r="AD90" s="5" t="s">
        <v>496</v>
      </c>
      <c r="AE90" s="5" t="s">
        <v>1184</v>
      </c>
      <c r="AF90" s="11">
        <v>46091</v>
      </c>
      <c r="AG90" s="5" t="s">
        <v>1185</v>
      </c>
      <c r="AH90" s="11">
        <v>46099</v>
      </c>
      <c r="AI90" s="5" t="s">
        <v>1186</v>
      </c>
      <c r="AJ90" s="5" t="s">
        <v>1187</v>
      </c>
      <c r="AK90" s="11">
        <v>46055</v>
      </c>
      <c r="AL90" s="5" t="s">
        <v>501</v>
      </c>
      <c r="AM90" s="5" t="s">
        <v>1180</v>
      </c>
    </row>
    <row r="91" spans="1:41" ht="15.75" customHeight="1" x14ac:dyDescent="0.3">
      <c r="A91" s="5">
        <v>86</v>
      </c>
      <c r="B91" s="5" t="s">
        <v>1188</v>
      </c>
      <c r="C91" s="5" t="s">
        <v>460</v>
      </c>
      <c r="D91" s="5" t="s">
        <v>607</v>
      </c>
      <c r="H91" s="5" t="s">
        <v>1189</v>
      </c>
      <c r="I91" s="5" t="s">
        <v>1190</v>
      </c>
      <c r="J91" s="5" t="s">
        <v>491</v>
      </c>
      <c r="K91" s="5" t="s">
        <v>466</v>
      </c>
      <c r="L91" s="5">
        <f t="shared" si="11"/>
        <v>13</v>
      </c>
      <c r="M91" s="5">
        <v>5</v>
      </c>
      <c r="N91" s="5">
        <v>4</v>
      </c>
      <c r="O91" s="5">
        <v>4</v>
      </c>
      <c r="Q91" s="5" t="s">
        <v>470</v>
      </c>
      <c r="R91" s="5" t="s">
        <v>493</v>
      </c>
      <c r="S91" s="5">
        <v>70170101</v>
      </c>
      <c r="T91" s="5" t="s">
        <v>494</v>
      </c>
      <c r="U91" s="5">
        <v>50000</v>
      </c>
      <c r="W91" s="5" t="s">
        <v>512</v>
      </c>
      <c r="X91" s="6">
        <v>46233</v>
      </c>
      <c r="Y91" s="6">
        <v>46310</v>
      </c>
      <c r="Z91" s="10"/>
      <c r="AA91" s="10"/>
      <c r="AB91" s="5" t="s">
        <v>514</v>
      </c>
      <c r="AD91" s="5" t="s">
        <v>496</v>
      </c>
      <c r="AE91" s="5" t="s">
        <v>1191</v>
      </c>
      <c r="AF91" s="11">
        <v>46063</v>
      </c>
      <c r="AG91" s="5" t="s">
        <v>1192</v>
      </c>
      <c r="AH91" s="11">
        <v>46239</v>
      </c>
      <c r="AI91" s="5" t="s">
        <v>1193</v>
      </c>
      <c r="AJ91" s="5" t="s">
        <v>1194</v>
      </c>
      <c r="AK91" s="11">
        <v>46055</v>
      </c>
      <c r="AL91" s="5" t="s">
        <v>501</v>
      </c>
      <c r="AM91" s="5" t="s">
        <v>1195</v>
      </c>
    </row>
    <row r="92" spans="1:41" ht="15.75" customHeight="1" x14ac:dyDescent="0.3">
      <c r="A92" s="5">
        <v>87</v>
      </c>
      <c r="B92" s="5" t="s">
        <v>1196</v>
      </c>
      <c r="C92" s="5" t="s">
        <v>460</v>
      </c>
      <c r="D92" s="5" t="s">
        <v>1197</v>
      </c>
      <c r="F92" s="5" t="s">
        <v>1198</v>
      </c>
      <c r="G92" s="5" t="s">
        <v>1199</v>
      </c>
      <c r="H92" s="5" t="s">
        <v>1200</v>
      </c>
      <c r="Q92" s="5" t="s">
        <v>470</v>
      </c>
      <c r="R92" s="5" t="s">
        <v>559</v>
      </c>
      <c r="S92" s="5">
        <v>10110102</v>
      </c>
      <c r="T92" s="5" t="s">
        <v>716</v>
      </c>
      <c r="U92" s="5">
        <v>7000</v>
      </c>
      <c r="V92" s="5">
        <v>6329.3</v>
      </c>
      <c r="W92" s="5" t="s">
        <v>512</v>
      </c>
      <c r="X92" s="6">
        <v>46082</v>
      </c>
      <c r="Y92" s="6">
        <v>46264</v>
      </c>
      <c r="Z92" s="6">
        <v>46082</v>
      </c>
      <c r="AA92" s="10"/>
      <c r="AB92" s="5" t="s">
        <v>478</v>
      </c>
      <c r="AD92" s="5" t="s">
        <v>1201</v>
      </c>
      <c r="AE92" s="5" t="s">
        <v>1202</v>
      </c>
      <c r="AF92" s="11">
        <v>46063</v>
      </c>
      <c r="AG92" s="5" t="s">
        <v>1203</v>
      </c>
      <c r="AH92" s="11">
        <v>46076</v>
      </c>
      <c r="AI92" s="5" t="s">
        <v>1204</v>
      </c>
      <c r="AJ92" s="5" t="s">
        <v>1205</v>
      </c>
      <c r="AK92" s="11">
        <v>46055</v>
      </c>
      <c r="AL92" s="5" t="s">
        <v>501</v>
      </c>
      <c r="AM92" s="5" t="s">
        <v>1206</v>
      </c>
    </row>
    <row r="93" spans="1:41" ht="15.75" customHeight="1" x14ac:dyDescent="0.3">
      <c r="A93" s="5">
        <v>88</v>
      </c>
      <c r="B93" s="5" t="s">
        <v>1207</v>
      </c>
      <c r="C93" s="5" t="s">
        <v>460</v>
      </c>
      <c r="D93" s="5" t="s">
        <v>1197</v>
      </c>
      <c r="F93" s="5" t="s">
        <v>1198</v>
      </c>
      <c r="G93" s="5" t="s">
        <v>1199</v>
      </c>
      <c r="H93" s="5" t="s">
        <v>1208</v>
      </c>
      <c r="Q93" s="5" t="s">
        <v>470</v>
      </c>
      <c r="R93" s="5" t="s">
        <v>803</v>
      </c>
      <c r="S93" s="5">
        <v>10110101</v>
      </c>
      <c r="T93" s="5" t="s">
        <v>1209</v>
      </c>
      <c r="U93" s="5">
        <v>8964.7999999999993</v>
      </c>
      <c r="V93" s="5">
        <v>18495.13</v>
      </c>
      <c r="W93" s="5" t="s">
        <v>512</v>
      </c>
      <c r="X93" s="6">
        <v>46082</v>
      </c>
      <c r="Y93" s="6">
        <v>46172</v>
      </c>
      <c r="Z93" s="6">
        <v>46082</v>
      </c>
      <c r="AA93" s="6">
        <v>46157</v>
      </c>
      <c r="AB93" s="5" t="s">
        <v>478</v>
      </c>
      <c r="AC93" s="5" t="s">
        <v>478</v>
      </c>
      <c r="AD93" s="5" t="s">
        <v>1201</v>
      </c>
      <c r="AE93" s="5" t="s">
        <v>1210</v>
      </c>
      <c r="AF93" s="11">
        <v>46072</v>
      </c>
      <c r="AG93" s="5" t="s">
        <v>1211</v>
      </c>
      <c r="AH93" s="11">
        <v>46085</v>
      </c>
      <c r="AI93" s="5" t="s">
        <v>1212</v>
      </c>
      <c r="AJ93" s="5" t="s">
        <v>1213</v>
      </c>
      <c r="AK93" s="11">
        <v>46055</v>
      </c>
      <c r="AL93" s="5" t="s">
        <v>501</v>
      </c>
      <c r="AM93" s="5" t="s">
        <v>1214</v>
      </c>
    </row>
    <row r="94" spans="1:41" ht="15.75" customHeight="1" x14ac:dyDescent="0.3">
      <c r="A94" s="5">
        <v>89</v>
      </c>
      <c r="B94" s="5" t="s">
        <v>1215</v>
      </c>
      <c r="C94" s="5" t="s">
        <v>460</v>
      </c>
      <c r="D94" s="5" t="s">
        <v>1197</v>
      </c>
      <c r="F94" s="5" t="s">
        <v>1198</v>
      </c>
      <c r="G94" s="5" t="s">
        <v>1199</v>
      </c>
      <c r="H94" s="5" t="s">
        <v>1216</v>
      </c>
      <c r="Q94" s="5" t="s">
        <v>470</v>
      </c>
      <c r="R94" s="5" t="s">
        <v>559</v>
      </c>
      <c r="S94" s="5">
        <v>10110201</v>
      </c>
      <c r="T94" s="5" t="s">
        <v>614</v>
      </c>
      <c r="U94" s="5">
        <v>38303.5</v>
      </c>
      <c r="V94" s="5">
        <v>33424.94</v>
      </c>
      <c r="W94" s="5" t="s">
        <v>512</v>
      </c>
      <c r="X94" s="6">
        <v>46082</v>
      </c>
      <c r="Y94" s="6">
        <v>46172</v>
      </c>
      <c r="Z94" s="6">
        <v>46082</v>
      </c>
      <c r="AA94" s="6">
        <v>46157</v>
      </c>
      <c r="AB94" s="5" t="s">
        <v>478</v>
      </c>
      <c r="AC94" s="5" t="s">
        <v>478</v>
      </c>
      <c r="AD94" s="5" t="s">
        <v>1201</v>
      </c>
      <c r="AE94" s="5" t="s">
        <v>1217</v>
      </c>
      <c r="AF94" s="11">
        <v>46072</v>
      </c>
      <c r="AG94" s="5" t="s">
        <v>1218</v>
      </c>
      <c r="AH94" s="11">
        <v>46087</v>
      </c>
      <c r="AI94" s="5" t="s">
        <v>1219</v>
      </c>
      <c r="AJ94" s="5" t="s">
        <v>1220</v>
      </c>
      <c r="AK94" s="11">
        <v>46055</v>
      </c>
      <c r="AL94" s="5" t="s">
        <v>501</v>
      </c>
      <c r="AM94" s="5" t="s">
        <v>1214</v>
      </c>
    </row>
    <row r="95" spans="1:41" ht="15.75" customHeight="1" x14ac:dyDescent="0.3">
      <c r="A95" s="5">
        <v>90</v>
      </c>
      <c r="B95" s="5" t="s">
        <v>1221</v>
      </c>
      <c r="C95" s="5" t="s">
        <v>460</v>
      </c>
      <c r="D95" s="5" t="s">
        <v>1197</v>
      </c>
      <c r="F95" s="5" t="s">
        <v>1198</v>
      </c>
      <c r="G95" s="5" t="s">
        <v>1199</v>
      </c>
      <c r="H95" s="5" t="s">
        <v>1222</v>
      </c>
      <c r="Q95" s="5" t="s">
        <v>470</v>
      </c>
      <c r="R95" s="5" t="s">
        <v>559</v>
      </c>
      <c r="S95" s="5">
        <v>10110204</v>
      </c>
      <c r="T95" s="5" t="s">
        <v>561</v>
      </c>
      <c r="U95" s="5">
        <v>17047.599999999999</v>
      </c>
      <c r="V95" s="5">
        <v>11775.98</v>
      </c>
      <c r="W95" s="5" t="s">
        <v>512</v>
      </c>
      <c r="X95" s="6">
        <v>46082</v>
      </c>
      <c r="Y95" s="6">
        <v>46172</v>
      </c>
      <c r="Z95" s="6">
        <v>46082</v>
      </c>
      <c r="AA95" s="6">
        <v>46172</v>
      </c>
      <c r="AB95" s="5" t="s">
        <v>478</v>
      </c>
      <c r="AC95" s="5" t="s">
        <v>478</v>
      </c>
      <c r="AD95" s="5" t="s">
        <v>1201</v>
      </c>
      <c r="AE95" s="5" t="s">
        <v>1223</v>
      </c>
      <c r="AF95" s="11">
        <v>46072</v>
      </c>
      <c r="AG95" s="5" t="s">
        <v>1224</v>
      </c>
      <c r="AH95" s="11">
        <v>46085</v>
      </c>
      <c r="AI95" s="5" t="s">
        <v>1225</v>
      </c>
      <c r="AJ95" s="5" t="s">
        <v>1226</v>
      </c>
      <c r="AK95" s="11">
        <v>46055</v>
      </c>
      <c r="AL95" s="5" t="s">
        <v>501</v>
      </c>
      <c r="AM95" s="5" t="s">
        <v>1214</v>
      </c>
    </row>
    <row r="96" spans="1:41" ht="15.75" customHeight="1" x14ac:dyDescent="0.3">
      <c r="A96" s="5">
        <v>91</v>
      </c>
      <c r="B96" s="5" t="s">
        <v>1227</v>
      </c>
      <c r="C96" s="5" t="s">
        <v>460</v>
      </c>
      <c r="D96" s="5" t="s">
        <v>1197</v>
      </c>
      <c r="F96" s="5" t="s">
        <v>1198</v>
      </c>
      <c r="G96" s="5" t="s">
        <v>1199</v>
      </c>
      <c r="H96" s="5" t="s">
        <v>1228</v>
      </c>
      <c r="Q96" s="5" t="s">
        <v>470</v>
      </c>
      <c r="R96" s="5" t="s">
        <v>559</v>
      </c>
      <c r="S96" s="5">
        <v>10110205</v>
      </c>
      <c r="T96" s="5" t="s">
        <v>850</v>
      </c>
      <c r="U96" s="5">
        <v>26041</v>
      </c>
      <c r="V96" s="5">
        <v>20389.8</v>
      </c>
      <c r="W96" s="5" t="s">
        <v>512</v>
      </c>
      <c r="X96" s="6">
        <v>46082</v>
      </c>
      <c r="Y96" s="6">
        <v>46172</v>
      </c>
      <c r="Z96" s="6">
        <v>46082</v>
      </c>
      <c r="AA96" s="6">
        <v>46172</v>
      </c>
      <c r="AB96" s="5" t="s">
        <v>478</v>
      </c>
      <c r="AC96" s="5" t="s">
        <v>478</v>
      </c>
      <c r="AD96" s="5" t="s">
        <v>1201</v>
      </c>
      <c r="AE96" s="5" t="s">
        <v>1229</v>
      </c>
      <c r="AF96" s="11">
        <v>46072</v>
      </c>
      <c r="AG96" s="5" t="s">
        <v>1230</v>
      </c>
      <c r="AH96" s="11">
        <v>46085</v>
      </c>
      <c r="AI96" s="5" t="s">
        <v>1231</v>
      </c>
      <c r="AJ96" s="5" t="s">
        <v>1232</v>
      </c>
      <c r="AK96" s="11">
        <v>46055</v>
      </c>
      <c r="AL96" s="5" t="s">
        <v>501</v>
      </c>
      <c r="AM96" s="5" t="s">
        <v>1214</v>
      </c>
    </row>
    <row r="97" spans="1:42" ht="15.75" customHeight="1" x14ac:dyDescent="0.3">
      <c r="A97" s="5">
        <v>92</v>
      </c>
      <c r="B97" s="5" t="s">
        <v>1233</v>
      </c>
      <c r="C97" s="5" t="s">
        <v>460</v>
      </c>
      <c r="D97" s="5" t="s">
        <v>1068</v>
      </c>
      <c r="H97" s="5" t="s">
        <v>1234</v>
      </c>
      <c r="I97" s="5" t="s">
        <v>1235</v>
      </c>
      <c r="J97" s="5" t="s">
        <v>1236</v>
      </c>
      <c r="K97" s="5" t="s">
        <v>466</v>
      </c>
      <c r="L97" s="5">
        <f t="shared" ref="L97:L104" si="12">SUM(M97:O97)</f>
        <v>12</v>
      </c>
      <c r="M97" s="5">
        <v>4</v>
      </c>
      <c r="N97" s="5">
        <v>4</v>
      </c>
      <c r="O97" s="5">
        <v>4</v>
      </c>
      <c r="P97" s="5" t="s">
        <v>1237</v>
      </c>
      <c r="Q97" s="5" t="s">
        <v>470</v>
      </c>
      <c r="R97" s="5" t="s">
        <v>684</v>
      </c>
      <c r="S97" s="5">
        <v>70120201</v>
      </c>
      <c r="T97" s="5" t="s">
        <v>686</v>
      </c>
      <c r="U97" s="5">
        <v>55000</v>
      </c>
      <c r="W97" s="5" t="s">
        <v>512</v>
      </c>
      <c r="X97" s="6">
        <v>46235</v>
      </c>
      <c r="Y97" s="6">
        <v>46356</v>
      </c>
      <c r="Z97" s="10"/>
      <c r="AA97" s="10"/>
      <c r="AB97" s="5" t="s">
        <v>531</v>
      </c>
      <c r="AD97" s="5" t="s">
        <v>480</v>
      </c>
    </row>
    <row r="98" spans="1:42" ht="15.75" customHeight="1" x14ac:dyDescent="0.3">
      <c r="A98" s="5">
        <v>93</v>
      </c>
      <c r="B98" s="5" t="s">
        <v>1238</v>
      </c>
      <c r="C98" s="5" t="s">
        <v>460</v>
      </c>
      <c r="D98" s="5" t="s">
        <v>582</v>
      </c>
      <c r="F98" s="5" t="s">
        <v>583</v>
      </c>
      <c r="G98" s="5" t="s">
        <v>584</v>
      </c>
      <c r="H98" s="5" t="s">
        <v>1239</v>
      </c>
      <c r="I98" s="5" t="s">
        <v>1240</v>
      </c>
      <c r="J98" s="5" t="s">
        <v>1241</v>
      </c>
      <c r="K98" s="5" t="s">
        <v>466</v>
      </c>
      <c r="L98" s="5">
        <f t="shared" si="12"/>
        <v>10</v>
      </c>
      <c r="M98" s="5">
        <v>4</v>
      </c>
      <c r="N98" s="5">
        <v>2</v>
      </c>
      <c r="O98" s="5">
        <v>4</v>
      </c>
      <c r="Q98" s="5" t="s">
        <v>470</v>
      </c>
      <c r="R98" s="5" t="s">
        <v>684</v>
      </c>
      <c r="S98" s="5">
        <v>70120201</v>
      </c>
      <c r="T98" s="5" t="s">
        <v>686</v>
      </c>
      <c r="U98" s="5">
        <v>10000</v>
      </c>
      <c r="V98" s="5">
        <v>9052.83</v>
      </c>
      <c r="W98" s="5" t="s">
        <v>512</v>
      </c>
      <c r="X98" s="6">
        <v>46082</v>
      </c>
      <c r="Y98" s="6">
        <v>46082</v>
      </c>
      <c r="Z98" s="6">
        <v>46082</v>
      </c>
      <c r="AA98" s="6">
        <v>46111</v>
      </c>
      <c r="AB98" s="5" t="s">
        <v>478</v>
      </c>
      <c r="AC98" s="5" t="s">
        <v>478</v>
      </c>
      <c r="AD98" s="5" t="s">
        <v>496</v>
      </c>
      <c r="AE98" s="5" t="s">
        <v>1242</v>
      </c>
      <c r="AF98" s="11">
        <v>46064</v>
      </c>
      <c r="AG98" s="5" t="s">
        <v>1243</v>
      </c>
      <c r="AH98" s="11">
        <v>46079</v>
      </c>
      <c r="AI98" s="5" t="s">
        <v>1244</v>
      </c>
      <c r="AJ98" s="5" t="s">
        <v>1245</v>
      </c>
      <c r="AK98" s="11">
        <v>46055</v>
      </c>
      <c r="AL98" s="5" t="s">
        <v>501</v>
      </c>
      <c r="AM98" s="5" t="s">
        <v>1246</v>
      </c>
    </row>
    <row r="99" spans="1:42" ht="15.75" customHeight="1" x14ac:dyDescent="0.3">
      <c r="A99" s="5">
        <v>94</v>
      </c>
      <c r="B99" s="5" t="s">
        <v>1247</v>
      </c>
      <c r="C99" s="5" t="s">
        <v>460</v>
      </c>
      <c r="D99" s="5" t="s">
        <v>582</v>
      </c>
      <c r="F99" s="5" t="s">
        <v>583</v>
      </c>
      <c r="G99" s="5" t="s">
        <v>584</v>
      </c>
      <c r="H99" s="5" t="s">
        <v>1248</v>
      </c>
      <c r="I99" s="5" t="s">
        <v>1249</v>
      </c>
      <c r="J99" s="5" t="s">
        <v>1250</v>
      </c>
      <c r="K99" s="5" t="s">
        <v>466</v>
      </c>
      <c r="L99" s="5">
        <f t="shared" si="12"/>
        <v>10</v>
      </c>
      <c r="M99" s="5">
        <v>4</v>
      </c>
      <c r="N99" s="5">
        <v>3</v>
      </c>
      <c r="O99" s="5">
        <v>3</v>
      </c>
      <c r="Q99" s="5" t="s">
        <v>470</v>
      </c>
      <c r="R99" s="5" t="s">
        <v>774</v>
      </c>
      <c r="S99" s="5">
        <v>70110101</v>
      </c>
      <c r="T99" s="5" t="s">
        <v>775</v>
      </c>
      <c r="U99" s="5">
        <v>400000</v>
      </c>
      <c r="W99" s="5" t="s">
        <v>512</v>
      </c>
      <c r="X99" s="10"/>
      <c r="Y99" s="10"/>
      <c r="Z99" s="10"/>
      <c r="AA99" s="10"/>
      <c r="AB99" s="5" t="s">
        <v>711</v>
      </c>
      <c r="AD99" s="5" t="s">
        <v>496</v>
      </c>
      <c r="AI99" s="5" t="s">
        <v>1251</v>
      </c>
      <c r="AJ99" s="5" t="s">
        <v>1252</v>
      </c>
      <c r="AK99" s="11">
        <v>46055</v>
      </c>
      <c r="AL99" s="5" t="s">
        <v>501</v>
      </c>
      <c r="AM99" s="5" t="s">
        <v>1253</v>
      </c>
    </row>
    <row r="100" spans="1:42" ht="15.75" customHeight="1" x14ac:dyDescent="0.3">
      <c r="A100" s="5">
        <v>95</v>
      </c>
      <c r="B100" s="5" t="s">
        <v>1254</v>
      </c>
      <c r="C100" s="5" t="s">
        <v>460</v>
      </c>
      <c r="D100" s="5" t="s">
        <v>770</v>
      </c>
      <c r="H100" s="5" t="s">
        <v>1255</v>
      </c>
      <c r="I100" s="5" t="s">
        <v>1256</v>
      </c>
      <c r="J100" s="5" t="s">
        <v>1257</v>
      </c>
      <c r="K100" s="5" t="s">
        <v>466</v>
      </c>
      <c r="L100" s="5">
        <f t="shared" si="12"/>
        <v>9</v>
      </c>
      <c r="M100" s="5">
        <v>1</v>
      </c>
      <c r="N100" s="5">
        <v>4</v>
      </c>
      <c r="O100" s="5">
        <v>4</v>
      </c>
      <c r="Q100" s="5" t="s">
        <v>470</v>
      </c>
      <c r="R100" s="5" t="s">
        <v>774</v>
      </c>
      <c r="S100" s="5">
        <v>70110101</v>
      </c>
      <c r="T100" s="5" t="s">
        <v>775</v>
      </c>
      <c r="U100" s="5">
        <v>40000</v>
      </c>
      <c r="V100" s="5">
        <v>36598.410000000003</v>
      </c>
      <c r="W100" s="5" t="s">
        <v>474</v>
      </c>
      <c r="X100" s="6">
        <v>46113</v>
      </c>
      <c r="Y100" s="6">
        <v>46203</v>
      </c>
      <c r="Z100" s="6">
        <v>46113</v>
      </c>
      <c r="AA100" s="6">
        <v>46162</v>
      </c>
      <c r="AB100" s="5" t="s">
        <v>478</v>
      </c>
      <c r="AC100" s="5" t="s">
        <v>478</v>
      </c>
      <c r="AD100" s="5" t="s">
        <v>776</v>
      </c>
      <c r="AE100" s="5" t="s">
        <v>1258</v>
      </c>
      <c r="AF100" s="11">
        <v>46064</v>
      </c>
      <c r="AG100" s="5" t="s">
        <v>1259</v>
      </c>
      <c r="AH100" s="11">
        <v>46122</v>
      </c>
      <c r="AI100" s="5" t="s">
        <v>1260</v>
      </c>
      <c r="AJ100" s="5" t="s">
        <v>1261</v>
      </c>
      <c r="AK100" s="11">
        <v>46055</v>
      </c>
      <c r="AL100" s="5" t="s">
        <v>501</v>
      </c>
      <c r="AM100" s="5" t="s">
        <v>1262</v>
      </c>
    </row>
    <row r="101" spans="1:42" ht="15.75" customHeight="1" x14ac:dyDescent="0.3">
      <c r="A101" s="5">
        <v>96</v>
      </c>
      <c r="B101" s="5" t="s">
        <v>1263</v>
      </c>
      <c r="C101" s="5" t="s">
        <v>460</v>
      </c>
      <c r="D101" s="5" t="s">
        <v>870</v>
      </c>
      <c r="H101" s="5" t="s">
        <v>1264</v>
      </c>
      <c r="I101" s="5" t="s">
        <v>1265</v>
      </c>
      <c r="J101" s="5" t="s">
        <v>1266</v>
      </c>
      <c r="K101" s="5" t="s">
        <v>466</v>
      </c>
      <c r="L101" s="5">
        <f t="shared" si="12"/>
        <v>8</v>
      </c>
      <c r="M101" s="5">
        <v>2</v>
      </c>
      <c r="N101" s="5">
        <v>2</v>
      </c>
      <c r="O101" s="5">
        <v>4</v>
      </c>
      <c r="P101" s="5" t="s">
        <v>1267</v>
      </c>
      <c r="Q101" s="5" t="s">
        <v>470</v>
      </c>
      <c r="R101" s="5" t="s">
        <v>774</v>
      </c>
      <c r="S101" s="5">
        <v>70110101</v>
      </c>
      <c r="T101" s="5" t="s">
        <v>775</v>
      </c>
      <c r="U101" s="5">
        <v>30000</v>
      </c>
      <c r="W101" s="5" t="s">
        <v>562</v>
      </c>
      <c r="X101" s="6">
        <v>46235</v>
      </c>
      <c r="Y101" s="6">
        <v>46325</v>
      </c>
      <c r="Z101" s="10"/>
      <c r="AA101" s="10"/>
      <c r="AB101" s="5" t="s">
        <v>514</v>
      </c>
      <c r="AD101" s="5" t="s">
        <v>480</v>
      </c>
    </row>
    <row r="102" spans="1:42" ht="15.75" customHeight="1" x14ac:dyDescent="0.3">
      <c r="A102" s="5">
        <v>97</v>
      </c>
      <c r="B102" s="5" t="s">
        <v>1268</v>
      </c>
      <c r="C102" s="5" t="s">
        <v>460</v>
      </c>
      <c r="D102" s="5" t="s">
        <v>870</v>
      </c>
      <c r="H102" s="5" t="s">
        <v>1269</v>
      </c>
      <c r="I102" s="5" t="s">
        <v>1270</v>
      </c>
      <c r="J102" s="5" t="s">
        <v>1271</v>
      </c>
      <c r="K102" s="5" t="s">
        <v>466</v>
      </c>
      <c r="L102" s="5">
        <f t="shared" si="12"/>
        <v>13</v>
      </c>
      <c r="M102" s="5">
        <v>4</v>
      </c>
      <c r="N102" s="5">
        <v>5</v>
      </c>
      <c r="O102" s="5">
        <v>4</v>
      </c>
      <c r="P102" s="5" t="s">
        <v>1272</v>
      </c>
      <c r="Q102" s="5" t="s">
        <v>470</v>
      </c>
      <c r="R102" s="5" t="s">
        <v>774</v>
      </c>
      <c r="S102" s="5">
        <v>70110101</v>
      </c>
      <c r="T102" s="5" t="s">
        <v>775</v>
      </c>
      <c r="U102" s="5">
        <v>35000</v>
      </c>
      <c r="W102" s="5" t="s">
        <v>512</v>
      </c>
      <c r="X102" s="6">
        <v>46235</v>
      </c>
      <c r="Y102" s="6">
        <v>46325</v>
      </c>
      <c r="Z102" s="10"/>
      <c r="AA102" s="10"/>
      <c r="AB102" s="5" t="s">
        <v>514</v>
      </c>
      <c r="AD102" s="5" t="s">
        <v>480</v>
      </c>
    </row>
    <row r="103" spans="1:42" ht="15.75" customHeight="1" x14ac:dyDescent="0.3">
      <c r="A103" s="5">
        <v>99</v>
      </c>
      <c r="B103" s="5" t="s">
        <v>1273</v>
      </c>
      <c r="C103" s="5" t="s">
        <v>460</v>
      </c>
      <c r="D103" s="5" t="s">
        <v>582</v>
      </c>
      <c r="F103" s="5" t="s">
        <v>583</v>
      </c>
      <c r="G103" s="5" t="s">
        <v>584</v>
      </c>
      <c r="H103" s="5" t="s">
        <v>1274</v>
      </c>
      <c r="I103" s="5" t="s">
        <v>1275</v>
      </c>
      <c r="J103" s="5" t="s">
        <v>1276</v>
      </c>
      <c r="K103" s="5" t="s">
        <v>466</v>
      </c>
      <c r="L103" s="5">
        <f t="shared" si="12"/>
        <v>8</v>
      </c>
      <c r="M103" s="5">
        <v>1</v>
      </c>
      <c r="N103" s="5">
        <v>3</v>
      </c>
      <c r="O103" s="5">
        <v>4</v>
      </c>
      <c r="Q103" s="5" t="s">
        <v>470</v>
      </c>
      <c r="R103" s="5" t="s">
        <v>774</v>
      </c>
      <c r="S103" s="5">
        <v>70110101</v>
      </c>
      <c r="T103" s="5" t="s">
        <v>775</v>
      </c>
      <c r="U103" s="5">
        <v>20000</v>
      </c>
      <c r="V103" s="5">
        <v>5304.88</v>
      </c>
      <c r="W103" s="5" t="s">
        <v>562</v>
      </c>
      <c r="X103" s="6">
        <v>46143</v>
      </c>
      <c r="Y103" s="6">
        <v>46203</v>
      </c>
      <c r="Z103" s="6">
        <v>46132</v>
      </c>
      <c r="AA103" s="6">
        <v>46162</v>
      </c>
      <c r="AB103" s="5" t="s">
        <v>478</v>
      </c>
      <c r="AC103" s="5" t="s">
        <v>478</v>
      </c>
      <c r="AD103" s="5" t="s">
        <v>496</v>
      </c>
      <c r="AE103" s="5" t="s">
        <v>1277</v>
      </c>
      <c r="AF103" s="11">
        <v>46064</v>
      </c>
      <c r="AG103" s="5" t="s">
        <v>1278</v>
      </c>
      <c r="AH103" s="11">
        <v>46093</v>
      </c>
      <c r="AI103" s="5" t="s">
        <v>1279</v>
      </c>
      <c r="AJ103" s="5" t="s">
        <v>1280</v>
      </c>
      <c r="AK103" s="11">
        <v>46055</v>
      </c>
      <c r="AL103" s="5" t="s">
        <v>501</v>
      </c>
      <c r="AM103" s="5" t="s">
        <v>1246</v>
      </c>
    </row>
    <row r="104" spans="1:42" ht="15.75" customHeight="1" x14ac:dyDescent="0.3">
      <c r="A104" s="5">
        <v>100</v>
      </c>
      <c r="B104" s="5" t="s">
        <v>1281</v>
      </c>
      <c r="C104" s="5" t="s">
        <v>460</v>
      </c>
      <c r="D104" s="5" t="s">
        <v>582</v>
      </c>
      <c r="F104" s="5" t="s">
        <v>583</v>
      </c>
      <c r="G104" s="5" t="s">
        <v>584</v>
      </c>
      <c r="H104" s="5" t="s">
        <v>1282</v>
      </c>
      <c r="I104" s="5" t="s">
        <v>1283</v>
      </c>
      <c r="J104" s="5" t="s">
        <v>1284</v>
      </c>
      <c r="K104" s="5" t="s">
        <v>466</v>
      </c>
      <c r="L104" s="5">
        <f t="shared" si="12"/>
        <v>12</v>
      </c>
      <c r="M104" s="5">
        <v>4</v>
      </c>
      <c r="N104" s="5">
        <v>4</v>
      </c>
      <c r="O104" s="5">
        <v>4</v>
      </c>
      <c r="Q104" s="5" t="s">
        <v>470</v>
      </c>
      <c r="R104" s="5" t="s">
        <v>774</v>
      </c>
      <c r="S104" s="5">
        <v>70110101</v>
      </c>
      <c r="T104" s="5" t="s">
        <v>775</v>
      </c>
      <c r="U104" s="5">
        <v>70000</v>
      </c>
      <c r="W104" s="5" t="s">
        <v>512</v>
      </c>
      <c r="X104" s="6">
        <v>46174</v>
      </c>
      <c r="Y104" s="6">
        <v>46325</v>
      </c>
      <c r="Z104" s="10"/>
      <c r="AA104" s="10"/>
      <c r="AB104" s="5" t="s">
        <v>514</v>
      </c>
      <c r="AD104" s="5" t="s">
        <v>496</v>
      </c>
      <c r="AI104" s="5" t="s">
        <v>1285</v>
      </c>
      <c r="AJ104" s="5" t="s">
        <v>1286</v>
      </c>
      <c r="AK104" s="11">
        <v>46055</v>
      </c>
      <c r="AL104" s="5" t="s">
        <v>501</v>
      </c>
      <c r="AM104" s="5" t="s">
        <v>1287</v>
      </c>
      <c r="AO104" s="5" t="s">
        <v>1288</v>
      </c>
    </row>
    <row r="105" spans="1:42" ht="15.75" customHeight="1" x14ac:dyDescent="0.3">
      <c r="A105" s="5">
        <v>98</v>
      </c>
      <c r="B105" s="5" t="s">
        <v>1289</v>
      </c>
      <c r="C105" s="5" t="s">
        <v>460</v>
      </c>
      <c r="D105" s="5" t="s">
        <v>582</v>
      </c>
      <c r="F105" s="5" t="s">
        <v>1290</v>
      </c>
      <c r="H105" s="5" t="s">
        <v>1291</v>
      </c>
      <c r="Q105" s="5" t="s">
        <v>470</v>
      </c>
      <c r="R105" s="5" t="s">
        <v>774</v>
      </c>
      <c r="S105" s="5">
        <v>70110107</v>
      </c>
      <c r="T105" s="5" t="s">
        <v>896</v>
      </c>
      <c r="U105" s="5">
        <v>13624.65</v>
      </c>
      <c r="W105" s="5" t="s">
        <v>562</v>
      </c>
      <c r="X105" s="6">
        <v>46174</v>
      </c>
      <c r="Y105" s="6">
        <v>46325</v>
      </c>
      <c r="Z105" s="10"/>
      <c r="AA105" s="10"/>
      <c r="AB105" s="5" t="s">
        <v>531</v>
      </c>
      <c r="AD105" s="5" t="s">
        <v>496</v>
      </c>
      <c r="AI105" s="5" t="s">
        <v>1292</v>
      </c>
      <c r="AJ105" s="5" t="s">
        <v>1293</v>
      </c>
      <c r="AO105" s="5" t="s">
        <v>1294</v>
      </c>
      <c r="AP105" s="5" t="s">
        <v>781</v>
      </c>
    </row>
    <row r="106" spans="1:42" ht="15.75" customHeight="1" x14ac:dyDescent="0.3">
      <c r="A106" s="5">
        <v>30</v>
      </c>
      <c r="B106" s="5" t="s">
        <v>1295</v>
      </c>
      <c r="C106" s="5" t="s">
        <v>460</v>
      </c>
      <c r="D106" s="5" t="s">
        <v>770</v>
      </c>
      <c r="F106" s="5" t="s">
        <v>1290</v>
      </c>
      <c r="H106" s="5" t="s">
        <v>771</v>
      </c>
      <c r="Q106" s="5" t="s">
        <v>470</v>
      </c>
      <c r="R106" s="5" t="s">
        <v>774</v>
      </c>
      <c r="S106" s="5">
        <v>70110107</v>
      </c>
      <c r="T106" s="5" t="s">
        <v>896</v>
      </c>
      <c r="U106" s="5">
        <v>20000</v>
      </c>
      <c r="V106" s="5">
        <v>20000</v>
      </c>
      <c r="W106" s="5" t="s">
        <v>512</v>
      </c>
      <c r="X106" s="6">
        <v>46174</v>
      </c>
      <c r="Y106" s="6">
        <v>46325</v>
      </c>
      <c r="Z106" s="10"/>
      <c r="AA106" s="10"/>
      <c r="AB106" s="5" t="s">
        <v>514</v>
      </c>
      <c r="AD106" s="5" t="s">
        <v>776</v>
      </c>
      <c r="AI106" s="5" t="s">
        <v>1296</v>
      </c>
      <c r="AJ106" s="5" t="s">
        <v>1297</v>
      </c>
      <c r="AO106" s="5" t="s">
        <v>1294</v>
      </c>
      <c r="AP106" s="5" t="s">
        <v>781</v>
      </c>
    </row>
    <row r="107" spans="1:42" ht="15.75" customHeight="1" x14ac:dyDescent="0.3">
      <c r="A107" s="5">
        <v>269</v>
      </c>
      <c r="B107" s="5" t="s">
        <v>1298</v>
      </c>
      <c r="C107" s="5" t="s">
        <v>1299</v>
      </c>
      <c r="D107" s="5" t="s">
        <v>1300</v>
      </c>
      <c r="F107" s="5" t="s">
        <v>1290</v>
      </c>
      <c r="H107" s="5" t="s">
        <v>1301</v>
      </c>
      <c r="Q107" s="5" t="s">
        <v>470</v>
      </c>
      <c r="R107" s="5" t="s">
        <v>649</v>
      </c>
      <c r="S107" s="5">
        <v>10220106</v>
      </c>
      <c r="T107" s="5" t="s">
        <v>651</v>
      </c>
      <c r="U107" s="5">
        <v>65250</v>
      </c>
      <c r="V107" s="5">
        <v>63073.36</v>
      </c>
      <c r="W107" s="5" t="s">
        <v>512</v>
      </c>
      <c r="X107" s="6">
        <v>46082</v>
      </c>
      <c r="Y107" s="6">
        <v>46111</v>
      </c>
      <c r="Z107" s="6">
        <v>46082</v>
      </c>
      <c r="AA107" s="6">
        <v>46111</v>
      </c>
      <c r="AB107" s="5" t="s">
        <v>478</v>
      </c>
      <c r="AC107" s="5" t="s">
        <v>478</v>
      </c>
      <c r="AD107" s="5" t="s">
        <v>496</v>
      </c>
      <c r="AI107" s="5" t="s">
        <v>1302</v>
      </c>
      <c r="AJ107" s="5" t="s">
        <v>1303</v>
      </c>
      <c r="AK107" s="11">
        <v>46097</v>
      </c>
      <c r="AL107" s="5" t="s">
        <v>1304</v>
      </c>
    </row>
    <row r="108" spans="1:42" ht="15.75" customHeight="1" x14ac:dyDescent="0.3">
      <c r="A108" s="5">
        <v>101</v>
      </c>
      <c r="B108" s="5" t="s">
        <v>1305</v>
      </c>
      <c r="C108" s="5" t="s">
        <v>1299</v>
      </c>
      <c r="D108" s="5" t="s">
        <v>1306</v>
      </c>
      <c r="H108" s="5" t="s">
        <v>1307</v>
      </c>
      <c r="Q108" s="5" t="s">
        <v>470</v>
      </c>
      <c r="R108" s="5" t="s">
        <v>684</v>
      </c>
      <c r="S108" s="5">
        <v>70120201</v>
      </c>
      <c r="T108" s="5" t="s">
        <v>686</v>
      </c>
      <c r="U108" s="5">
        <v>0</v>
      </c>
      <c r="W108" s="5" t="s">
        <v>512</v>
      </c>
      <c r="X108" s="10"/>
      <c r="Y108" s="10"/>
      <c r="Z108" s="10"/>
      <c r="AA108" s="10"/>
      <c r="AB108" s="5" t="s">
        <v>711</v>
      </c>
      <c r="AD108" s="5" t="s">
        <v>1308</v>
      </c>
      <c r="AI108" s="5" t="s">
        <v>1309</v>
      </c>
      <c r="AJ108" s="5" t="s">
        <v>1310</v>
      </c>
      <c r="AM108" s="5" t="s">
        <v>1311</v>
      </c>
      <c r="AO108" s="5" t="s">
        <v>1312</v>
      </c>
    </row>
    <row r="109" spans="1:42" ht="15.75" customHeight="1" x14ac:dyDescent="0.3">
      <c r="A109" s="5">
        <v>102</v>
      </c>
      <c r="B109" s="5" t="s">
        <v>1313</v>
      </c>
      <c r="C109" s="5" t="s">
        <v>1299</v>
      </c>
      <c r="D109" s="5" t="s">
        <v>1306</v>
      </c>
      <c r="F109" s="5" t="s">
        <v>1108</v>
      </c>
      <c r="H109" s="5" t="s">
        <v>1307</v>
      </c>
      <c r="Q109" s="5" t="s">
        <v>470</v>
      </c>
      <c r="R109" s="5" t="s">
        <v>649</v>
      </c>
      <c r="S109" s="5">
        <v>10220106</v>
      </c>
      <c r="T109" s="5" t="s">
        <v>651</v>
      </c>
      <c r="U109" s="5">
        <v>0</v>
      </c>
      <c r="V109" s="5">
        <v>0</v>
      </c>
      <c r="W109" s="5" t="s">
        <v>512</v>
      </c>
      <c r="X109" s="10"/>
      <c r="Y109" s="10"/>
      <c r="Z109" s="10"/>
      <c r="AA109" s="10"/>
      <c r="AB109" s="5" t="s">
        <v>711</v>
      </c>
      <c r="AD109" s="5" t="s">
        <v>1308</v>
      </c>
      <c r="AI109" s="5" t="s">
        <v>1314</v>
      </c>
      <c r="AJ109" s="5" t="s">
        <v>1315</v>
      </c>
      <c r="AM109" s="5" t="s">
        <v>1311</v>
      </c>
      <c r="AO109" s="5" t="s">
        <v>1312</v>
      </c>
    </row>
    <row r="110" spans="1:42" ht="15.75" customHeight="1" x14ac:dyDescent="0.3">
      <c r="A110" s="5">
        <v>103</v>
      </c>
      <c r="B110" s="5" t="s">
        <v>1316</v>
      </c>
      <c r="C110" s="5" t="s">
        <v>1299</v>
      </c>
      <c r="D110" s="5" t="s">
        <v>521</v>
      </c>
      <c r="F110" s="5" t="s">
        <v>1108</v>
      </c>
      <c r="H110" s="5" t="s">
        <v>1307</v>
      </c>
      <c r="Q110" s="5" t="s">
        <v>470</v>
      </c>
      <c r="R110" s="5" t="s">
        <v>527</v>
      </c>
      <c r="S110" s="5">
        <v>10220111</v>
      </c>
      <c r="T110" s="5" t="s">
        <v>528</v>
      </c>
      <c r="U110" s="5">
        <v>80000</v>
      </c>
      <c r="W110" s="5" t="s">
        <v>512</v>
      </c>
      <c r="X110" s="6">
        <v>46174</v>
      </c>
      <c r="Y110" s="6">
        <v>46310</v>
      </c>
      <c r="Z110" s="10"/>
      <c r="AA110" s="10"/>
      <c r="AB110" s="5" t="s">
        <v>514</v>
      </c>
      <c r="AD110" s="5" t="s">
        <v>1308</v>
      </c>
      <c r="AE110" s="5" t="s">
        <v>1317</v>
      </c>
      <c r="AI110" s="5" t="s">
        <v>1318</v>
      </c>
      <c r="AJ110" s="5" t="s">
        <v>1319</v>
      </c>
      <c r="AM110" s="5" t="s">
        <v>1320</v>
      </c>
    </row>
    <row r="111" spans="1:42" ht="15.75" customHeight="1" x14ac:dyDescent="0.3">
      <c r="A111" s="5">
        <v>104</v>
      </c>
      <c r="B111" s="5" t="s">
        <v>1321</v>
      </c>
      <c r="C111" s="5" t="s">
        <v>1299</v>
      </c>
      <c r="D111" s="5" t="s">
        <v>1306</v>
      </c>
      <c r="H111" s="5" t="s">
        <v>1307</v>
      </c>
      <c r="Q111" s="5" t="s">
        <v>470</v>
      </c>
      <c r="R111" s="5" t="s">
        <v>538</v>
      </c>
      <c r="S111" s="5">
        <v>70150101</v>
      </c>
      <c r="T111" s="5" t="s">
        <v>540</v>
      </c>
      <c r="U111" s="5">
        <v>0</v>
      </c>
      <c r="W111" s="5" t="s">
        <v>512</v>
      </c>
      <c r="X111" s="10"/>
      <c r="Y111" s="10"/>
      <c r="Z111" s="10"/>
      <c r="AA111" s="10"/>
      <c r="AB111" s="5" t="s">
        <v>711</v>
      </c>
      <c r="AD111" s="5" t="s">
        <v>1308</v>
      </c>
      <c r="AI111" s="5" t="s">
        <v>1322</v>
      </c>
      <c r="AJ111" s="5" t="s">
        <v>1323</v>
      </c>
      <c r="AM111" s="5" t="s">
        <v>1311</v>
      </c>
      <c r="AO111" s="5" t="s">
        <v>1312</v>
      </c>
    </row>
    <row r="112" spans="1:42" ht="15.75" customHeight="1" x14ac:dyDescent="0.3">
      <c r="A112" s="5">
        <v>105</v>
      </c>
      <c r="B112" s="5" t="s">
        <v>1324</v>
      </c>
      <c r="C112" s="5" t="s">
        <v>1299</v>
      </c>
      <c r="D112" s="5" t="s">
        <v>1325</v>
      </c>
      <c r="H112" s="5" t="s">
        <v>1307</v>
      </c>
      <c r="Q112" s="5" t="s">
        <v>470</v>
      </c>
      <c r="R112" s="5" t="s">
        <v>493</v>
      </c>
      <c r="S112" s="5">
        <v>70170101</v>
      </c>
      <c r="T112" s="5" t="s">
        <v>494</v>
      </c>
      <c r="U112" s="5">
        <v>80000</v>
      </c>
      <c r="V112" s="5">
        <v>14051.19</v>
      </c>
      <c r="W112" s="5" t="s">
        <v>512</v>
      </c>
      <c r="X112" s="6">
        <v>46258</v>
      </c>
      <c r="Y112" s="6">
        <v>46310</v>
      </c>
      <c r="Z112" s="6">
        <v>46082</v>
      </c>
      <c r="AA112" s="10"/>
      <c r="AB112" s="5" t="s">
        <v>514</v>
      </c>
      <c r="AD112" s="5" t="s">
        <v>1308</v>
      </c>
      <c r="AE112" s="5" t="s">
        <v>1326</v>
      </c>
      <c r="AF112" s="11">
        <v>46048</v>
      </c>
      <c r="AG112" s="5" t="s">
        <v>1327</v>
      </c>
      <c r="AH112" s="5" t="s">
        <v>1328</v>
      </c>
      <c r="AI112" s="5" t="s">
        <v>1329</v>
      </c>
      <c r="AJ112" s="5" t="s">
        <v>1330</v>
      </c>
      <c r="AM112" s="5" t="s">
        <v>1331</v>
      </c>
    </row>
    <row r="113" spans="1:41" ht="15.75" customHeight="1" x14ac:dyDescent="0.3">
      <c r="A113" s="5">
        <v>106</v>
      </c>
      <c r="B113" s="5" t="s">
        <v>1332</v>
      </c>
      <c r="C113" s="5" t="s">
        <v>1299</v>
      </c>
      <c r="D113" s="5" t="s">
        <v>550</v>
      </c>
      <c r="F113" s="5" t="s">
        <v>551</v>
      </c>
      <c r="G113" s="5" t="s">
        <v>552</v>
      </c>
      <c r="H113" s="5" t="s">
        <v>1333</v>
      </c>
      <c r="Q113" s="5" t="s">
        <v>470</v>
      </c>
      <c r="R113" s="5" t="s">
        <v>559</v>
      </c>
      <c r="S113" s="5">
        <v>10110102</v>
      </c>
      <c r="T113" s="5" t="s">
        <v>716</v>
      </c>
      <c r="U113" s="5">
        <v>70542.7</v>
      </c>
      <c r="V113" s="5">
        <v>70542.7</v>
      </c>
      <c r="W113" s="5" t="s">
        <v>512</v>
      </c>
      <c r="X113" s="6">
        <v>46174</v>
      </c>
      <c r="Y113" s="6">
        <v>46310</v>
      </c>
      <c r="Z113" s="6">
        <v>46113</v>
      </c>
      <c r="AA113" s="10"/>
      <c r="AB113" s="5" t="s">
        <v>514</v>
      </c>
      <c r="AD113" s="5" t="s">
        <v>496</v>
      </c>
      <c r="AE113" s="5" t="s">
        <v>1334</v>
      </c>
      <c r="AF113" s="11">
        <v>46063</v>
      </c>
      <c r="AG113" s="5" t="s">
        <v>1335</v>
      </c>
      <c r="AH113" s="11">
        <v>46149</v>
      </c>
      <c r="AI113" s="5" t="s">
        <v>1336</v>
      </c>
      <c r="AJ113" s="5" t="s">
        <v>1337</v>
      </c>
      <c r="AM113" s="5" t="s">
        <v>1206</v>
      </c>
      <c r="AO113" s="5" t="s">
        <v>1338</v>
      </c>
    </row>
    <row r="114" spans="1:41" ht="15.75" customHeight="1" x14ac:dyDescent="0.3">
      <c r="A114" s="5">
        <v>107</v>
      </c>
      <c r="B114" s="5" t="s">
        <v>1339</v>
      </c>
      <c r="C114" s="5" t="s">
        <v>1299</v>
      </c>
      <c r="D114" s="5" t="s">
        <v>1340</v>
      </c>
      <c r="F114" s="5" t="s">
        <v>1341</v>
      </c>
      <c r="G114" s="5" t="s">
        <v>1342</v>
      </c>
      <c r="H114" s="5" t="s">
        <v>1343</v>
      </c>
      <c r="Q114" s="5" t="s">
        <v>470</v>
      </c>
      <c r="R114" s="5" t="s">
        <v>510</v>
      </c>
      <c r="S114" s="5">
        <v>70180103</v>
      </c>
      <c r="T114" s="5" t="s">
        <v>511</v>
      </c>
      <c r="U114" s="5">
        <v>7203.36</v>
      </c>
      <c r="V114" s="5">
        <v>7203.36</v>
      </c>
      <c r="W114" s="5" t="s">
        <v>512</v>
      </c>
      <c r="X114" s="6">
        <v>46082</v>
      </c>
      <c r="Y114" s="6">
        <v>46082</v>
      </c>
      <c r="Z114" s="6">
        <v>46082</v>
      </c>
      <c r="AA114" s="6">
        <v>46111</v>
      </c>
      <c r="AB114" s="5" t="s">
        <v>478</v>
      </c>
      <c r="AC114" s="5" t="s">
        <v>478</v>
      </c>
      <c r="AD114" s="5" t="s">
        <v>1344</v>
      </c>
      <c r="AE114" s="5" t="s">
        <v>1345</v>
      </c>
      <c r="AF114" s="11">
        <v>46063</v>
      </c>
      <c r="AG114" s="5" t="s">
        <v>1346</v>
      </c>
      <c r="AH114" s="11">
        <v>46079</v>
      </c>
      <c r="AI114" s="5" t="s">
        <v>1347</v>
      </c>
      <c r="AJ114" s="5" t="s">
        <v>1348</v>
      </c>
      <c r="AO114" s="5" t="s">
        <v>1349</v>
      </c>
    </row>
    <row r="115" spans="1:41" ht="15.75" customHeight="1" x14ac:dyDescent="0.3">
      <c r="A115" s="5">
        <v>108</v>
      </c>
      <c r="B115" s="5" t="s">
        <v>1350</v>
      </c>
      <c r="C115" s="5" t="s">
        <v>1299</v>
      </c>
      <c r="D115" s="5" t="s">
        <v>1340</v>
      </c>
      <c r="F115" s="5" t="s">
        <v>1341</v>
      </c>
      <c r="G115" s="5" t="s">
        <v>1342</v>
      </c>
      <c r="H115" s="5" t="s">
        <v>1343</v>
      </c>
      <c r="Q115" s="5" t="s">
        <v>470</v>
      </c>
      <c r="R115" s="5" t="s">
        <v>649</v>
      </c>
      <c r="S115" s="5">
        <v>10220106</v>
      </c>
      <c r="T115" s="5" t="s">
        <v>651</v>
      </c>
      <c r="U115" s="5">
        <v>6849.36</v>
      </c>
      <c r="V115" s="5">
        <v>6849.36</v>
      </c>
      <c r="W115" s="5" t="s">
        <v>512</v>
      </c>
      <c r="X115" s="6">
        <v>46082</v>
      </c>
      <c r="Y115" s="6">
        <v>46082</v>
      </c>
      <c r="Z115" s="6">
        <v>46082</v>
      </c>
      <c r="AA115" s="6">
        <v>46111</v>
      </c>
      <c r="AB115" s="5" t="s">
        <v>478</v>
      </c>
      <c r="AC115" s="5" t="s">
        <v>478</v>
      </c>
      <c r="AD115" s="5" t="s">
        <v>1344</v>
      </c>
      <c r="AE115" s="5" t="s">
        <v>1351</v>
      </c>
      <c r="AF115" s="11">
        <v>46063</v>
      </c>
      <c r="AG115" s="5" t="s">
        <v>1352</v>
      </c>
      <c r="AH115" s="11">
        <v>46080</v>
      </c>
      <c r="AI115" s="5" t="s">
        <v>1353</v>
      </c>
      <c r="AJ115" s="5" t="s">
        <v>1354</v>
      </c>
      <c r="AO115" s="5" t="s">
        <v>1349</v>
      </c>
    </row>
    <row r="116" spans="1:41" ht="15.75" customHeight="1" x14ac:dyDescent="0.3">
      <c r="A116" s="5">
        <v>109</v>
      </c>
      <c r="B116" s="5" t="s">
        <v>1355</v>
      </c>
      <c r="C116" s="5" t="s">
        <v>1299</v>
      </c>
      <c r="D116" s="5" t="s">
        <v>1340</v>
      </c>
      <c r="F116" s="5" t="s">
        <v>1341</v>
      </c>
      <c r="G116" s="5" t="s">
        <v>1342</v>
      </c>
      <c r="H116" s="5" t="s">
        <v>1343</v>
      </c>
      <c r="Q116" s="5" t="s">
        <v>470</v>
      </c>
      <c r="R116" s="5" t="s">
        <v>493</v>
      </c>
      <c r="S116" s="5">
        <v>70170101</v>
      </c>
      <c r="T116" s="5" t="s">
        <v>494</v>
      </c>
      <c r="U116" s="5">
        <v>7321.36</v>
      </c>
      <c r="V116" s="5">
        <v>7321.36</v>
      </c>
      <c r="W116" s="5" t="s">
        <v>512</v>
      </c>
      <c r="X116" s="6">
        <v>46082</v>
      </c>
      <c r="Y116" s="6">
        <v>46082</v>
      </c>
      <c r="Z116" s="6">
        <v>46082</v>
      </c>
      <c r="AA116" s="6">
        <v>46111</v>
      </c>
      <c r="AB116" s="5" t="s">
        <v>478</v>
      </c>
      <c r="AC116" s="5" t="s">
        <v>478</v>
      </c>
      <c r="AD116" s="5" t="s">
        <v>1344</v>
      </c>
      <c r="AE116" s="5" t="s">
        <v>1356</v>
      </c>
      <c r="AF116" s="11">
        <v>46063</v>
      </c>
      <c r="AG116" s="5" t="s">
        <v>1357</v>
      </c>
      <c r="AH116" s="11">
        <v>46080</v>
      </c>
      <c r="AI116" s="5" t="s">
        <v>1358</v>
      </c>
      <c r="AJ116" s="5" t="s">
        <v>1359</v>
      </c>
      <c r="AO116" s="5" t="s">
        <v>1349</v>
      </c>
    </row>
    <row r="117" spans="1:41" ht="15.75" customHeight="1" x14ac:dyDescent="0.3">
      <c r="A117" s="5">
        <v>110</v>
      </c>
      <c r="B117" s="5" t="s">
        <v>1360</v>
      </c>
      <c r="C117" s="5" t="s">
        <v>1299</v>
      </c>
      <c r="D117" s="5" t="s">
        <v>1197</v>
      </c>
      <c r="F117" s="5" t="s">
        <v>1198</v>
      </c>
      <c r="G117" s="5" t="s">
        <v>1199</v>
      </c>
      <c r="H117" s="5" t="s">
        <v>1361</v>
      </c>
      <c r="Q117" s="5" t="s">
        <v>470</v>
      </c>
      <c r="R117" s="5" t="s">
        <v>527</v>
      </c>
      <c r="S117" s="5">
        <v>10220111</v>
      </c>
      <c r="T117" s="5" t="s">
        <v>528</v>
      </c>
      <c r="U117" s="5">
        <v>4218.75</v>
      </c>
      <c r="V117" s="5">
        <v>3292.2</v>
      </c>
      <c r="W117" s="5" t="s">
        <v>512</v>
      </c>
      <c r="X117" s="6">
        <v>46082</v>
      </c>
      <c r="Y117" s="6">
        <v>46082</v>
      </c>
      <c r="Z117" s="6">
        <v>46082</v>
      </c>
      <c r="AA117" s="6">
        <v>46111</v>
      </c>
      <c r="AB117" s="5" t="s">
        <v>478</v>
      </c>
      <c r="AC117" s="5" t="s">
        <v>478</v>
      </c>
      <c r="AD117" s="5" t="s">
        <v>1201</v>
      </c>
      <c r="AE117" s="5" t="s">
        <v>1362</v>
      </c>
      <c r="AF117" s="11">
        <v>46084</v>
      </c>
      <c r="AG117" s="5" t="s">
        <v>1363</v>
      </c>
      <c r="AH117" s="11">
        <v>46091</v>
      </c>
      <c r="AI117" s="5" t="s">
        <v>1364</v>
      </c>
      <c r="AJ117" s="5" t="s">
        <v>1365</v>
      </c>
    </row>
    <row r="118" spans="1:41" ht="15.75" customHeight="1" x14ac:dyDescent="0.3">
      <c r="A118" s="5">
        <v>111</v>
      </c>
      <c r="B118" s="5" t="s">
        <v>1366</v>
      </c>
      <c r="C118" s="5" t="s">
        <v>1299</v>
      </c>
      <c r="D118" s="5" t="s">
        <v>1197</v>
      </c>
      <c r="F118" s="5" t="s">
        <v>1198</v>
      </c>
      <c r="G118" s="5" t="s">
        <v>1199</v>
      </c>
      <c r="H118" s="5" t="s">
        <v>1361</v>
      </c>
      <c r="Q118" s="5" t="s">
        <v>470</v>
      </c>
      <c r="R118" s="5" t="s">
        <v>649</v>
      </c>
      <c r="S118" s="5">
        <v>10220106</v>
      </c>
      <c r="T118" s="5" t="s">
        <v>651</v>
      </c>
      <c r="U118" s="5">
        <v>4218.75</v>
      </c>
      <c r="V118" s="5">
        <v>3292.2</v>
      </c>
      <c r="W118" s="5" t="s">
        <v>512</v>
      </c>
      <c r="X118" s="6">
        <v>46082</v>
      </c>
      <c r="Y118" s="6">
        <v>46082</v>
      </c>
      <c r="Z118" s="6">
        <v>46082</v>
      </c>
      <c r="AA118" s="6">
        <v>46111</v>
      </c>
      <c r="AB118" s="5" t="s">
        <v>478</v>
      </c>
      <c r="AC118" s="5" t="s">
        <v>478</v>
      </c>
      <c r="AD118" s="5" t="s">
        <v>1201</v>
      </c>
      <c r="AE118" s="5" t="s">
        <v>1367</v>
      </c>
      <c r="AF118" s="11">
        <v>46084</v>
      </c>
      <c r="AG118" s="5" t="s">
        <v>1368</v>
      </c>
      <c r="AH118" s="11">
        <v>46091</v>
      </c>
      <c r="AI118" s="5" t="s">
        <v>1369</v>
      </c>
      <c r="AJ118" s="5" t="s">
        <v>1370</v>
      </c>
    </row>
    <row r="119" spans="1:41" ht="15.75" customHeight="1" x14ac:dyDescent="0.3">
      <c r="A119" s="5">
        <v>112</v>
      </c>
      <c r="B119" s="5" t="s">
        <v>1371</v>
      </c>
      <c r="C119" s="5" t="s">
        <v>1299</v>
      </c>
      <c r="D119" s="5" t="s">
        <v>1197</v>
      </c>
      <c r="F119" s="5" t="s">
        <v>1198</v>
      </c>
      <c r="G119" s="5" t="s">
        <v>1199</v>
      </c>
      <c r="H119" s="5" t="s">
        <v>1361</v>
      </c>
      <c r="Q119" s="5" t="s">
        <v>470</v>
      </c>
      <c r="R119" s="5" t="s">
        <v>588</v>
      </c>
      <c r="S119" s="5">
        <v>10220108</v>
      </c>
      <c r="T119" s="5" t="s">
        <v>590</v>
      </c>
      <c r="U119" s="5">
        <v>4218.75</v>
      </c>
      <c r="V119" s="5">
        <v>3292.2</v>
      </c>
      <c r="W119" s="5" t="s">
        <v>512</v>
      </c>
      <c r="X119" s="6">
        <v>46082</v>
      </c>
      <c r="Y119" s="6">
        <v>46082</v>
      </c>
      <c r="Z119" s="6">
        <v>46082</v>
      </c>
      <c r="AA119" s="6">
        <v>46111</v>
      </c>
      <c r="AB119" s="5" t="s">
        <v>478</v>
      </c>
      <c r="AC119" s="5" t="s">
        <v>478</v>
      </c>
      <c r="AD119" s="5" t="s">
        <v>1201</v>
      </c>
      <c r="AE119" s="5" t="s">
        <v>1372</v>
      </c>
      <c r="AF119" s="11">
        <v>46084</v>
      </c>
      <c r="AG119" s="5" t="s">
        <v>1373</v>
      </c>
      <c r="AH119" s="11">
        <v>46091</v>
      </c>
      <c r="AI119" s="5" t="s">
        <v>1374</v>
      </c>
      <c r="AJ119" s="5" t="s">
        <v>1375</v>
      </c>
    </row>
    <row r="120" spans="1:41" ht="15.75" customHeight="1" x14ac:dyDescent="0.3">
      <c r="A120" s="5">
        <v>113</v>
      </c>
      <c r="B120" s="5" t="s">
        <v>1376</v>
      </c>
      <c r="C120" s="5" t="s">
        <v>1299</v>
      </c>
      <c r="D120" s="5" t="s">
        <v>1197</v>
      </c>
      <c r="F120" s="5" t="s">
        <v>1198</v>
      </c>
      <c r="G120" s="5" t="s">
        <v>1199</v>
      </c>
      <c r="H120" s="5" t="s">
        <v>1361</v>
      </c>
      <c r="Q120" s="5" t="s">
        <v>470</v>
      </c>
      <c r="R120" s="5" t="s">
        <v>471</v>
      </c>
      <c r="S120" s="5">
        <v>10220110</v>
      </c>
      <c r="T120" s="5" t="s">
        <v>472</v>
      </c>
      <c r="U120" s="5">
        <v>4218.75</v>
      </c>
      <c r="V120" s="5">
        <v>3292.2</v>
      </c>
      <c r="W120" s="5" t="s">
        <v>512</v>
      </c>
      <c r="X120" s="6">
        <v>46082</v>
      </c>
      <c r="Y120" s="6">
        <v>46082</v>
      </c>
      <c r="Z120" s="6">
        <v>46082</v>
      </c>
      <c r="AA120" s="6">
        <v>46111</v>
      </c>
      <c r="AB120" s="5" t="s">
        <v>478</v>
      </c>
      <c r="AC120" s="5" t="s">
        <v>478</v>
      </c>
      <c r="AD120" s="5" t="s">
        <v>1201</v>
      </c>
      <c r="AE120" s="5" t="s">
        <v>1377</v>
      </c>
      <c r="AF120" s="11">
        <v>46084</v>
      </c>
      <c r="AG120" s="5" t="s">
        <v>1378</v>
      </c>
      <c r="AH120" s="11">
        <v>46091</v>
      </c>
      <c r="AI120" s="5" t="s">
        <v>1379</v>
      </c>
      <c r="AJ120" s="5" t="s">
        <v>1380</v>
      </c>
    </row>
    <row r="121" spans="1:41" ht="15.75" customHeight="1" x14ac:dyDescent="0.3">
      <c r="A121" s="5">
        <v>114</v>
      </c>
      <c r="B121" s="5" t="s">
        <v>1381</v>
      </c>
      <c r="C121" s="5" t="s">
        <v>1299</v>
      </c>
      <c r="D121" s="5" t="s">
        <v>1197</v>
      </c>
      <c r="F121" s="5" t="s">
        <v>1198</v>
      </c>
      <c r="G121" s="5" t="s">
        <v>1199</v>
      </c>
      <c r="H121" s="5" t="s">
        <v>1361</v>
      </c>
      <c r="Q121" s="5" t="s">
        <v>470</v>
      </c>
      <c r="R121" s="5" t="s">
        <v>664</v>
      </c>
      <c r="S121" s="5">
        <v>70160101</v>
      </c>
      <c r="T121" s="5" t="s">
        <v>665</v>
      </c>
      <c r="U121" s="5">
        <v>4218.75</v>
      </c>
      <c r="V121" s="5">
        <v>3292.2</v>
      </c>
      <c r="W121" s="5" t="s">
        <v>512</v>
      </c>
      <c r="X121" s="6">
        <v>46082</v>
      </c>
      <c r="Y121" s="6">
        <v>46172</v>
      </c>
      <c r="Z121" s="6">
        <v>46082</v>
      </c>
      <c r="AA121" s="6">
        <v>46157</v>
      </c>
      <c r="AB121" s="5" t="s">
        <v>478</v>
      </c>
      <c r="AC121" s="5" t="s">
        <v>478</v>
      </c>
      <c r="AD121" s="5" t="s">
        <v>1201</v>
      </c>
      <c r="AE121" s="5" t="s">
        <v>1382</v>
      </c>
      <c r="AF121" s="11">
        <v>46084</v>
      </c>
      <c r="AG121" s="5" t="s">
        <v>1383</v>
      </c>
      <c r="AH121" s="11">
        <v>46091</v>
      </c>
      <c r="AI121" s="5" t="s">
        <v>1384</v>
      </c>
      <c r="AJ121" s="5" t="s">
        <v>1385</v>
      </c>
    </row>
    <row r="122" spans="1:41" ht="15.75" customHeight="1" x14ac:dyDescent="0.3">
      <c r="A122" s="5">
        <v>115</v>
      </c>
      <c r="B122" s="5" t="s">
        <v>1386</v>
      </c>
      <c r="C122" s="5" t="s">
        <v>1299</v>
      </c>
      <c r="D122" s="5" t="s">
        <v>1197</v>
      </c>
      <c r="F122" s="5" t="s">
        <v>1198</v>
      </c>
      <c r="G122" s="5" t="s">
        <v>1199</v>
      </c>
      <c r="H122" s="5" t="s">
        <v>1361</v>
      </c>
      <c r="Q122" s="5" t="s">
        <v>470</v>
      </c>
      <c r="R122" s="5" t="s">
        <v>726</v>
      </c>
      <c r="S122" s="5">
        <v>70190101</v>
      </c>
      <c r="T122" s="5" t="s">
        <v>727</v>
      </c>
      <c r="U122" s="5">
        <v>4218.75</v>
      </c>
      <c r="V122" s="5">
        <v>3292.2</v>
      </c>
      <c r="W122" s="5" t="s">
        <v>512</v>
      </c>
      <c r="X122" s="6">
        <v>46082</v>
      </c>
      <c r="Y122" s="6">
        <v>46203</v>
      </c>
      <c r="Z122" s="6">
        <v>46082</v>
      </c>
      <c r="AA122" s="6">
        <v>46172</v>
      </c>
      <c r="AB122" s="5" t="s">
        <v>478</v>
      </c>
      <c r="AC122" s="5" t="s">
        <v>478</v>
      </c>
      <c r="AD122" s="5" t="s">
        <v>1201</v>
      </c>
      <c r="AE122" s="5" t="s">
        <v>1387</v>
      </c>
      <c r="AF122" s="11">
        <v>46084</v>
      </c>
      <c r="AG122" s="5" t="s">
        <v>1388</v>
      </c>
      <c r="AH122" s="11">
        <v>46091</v>
      </c>
      <c r="AI122" s="5" t="s">
        <v>1389</v>
      </c>
      <c r="AJ122" s="5" t="s">
        <v>1390</v>
      </c>
    </row>
    <row r="123" spans="1:41" ht="15.75" customHeight="1" x14ac:dyDescent="0.3">
      <c r="A123" s="5">
        <v>116</v>
      </c>
      <c r="B123" s="5" t="s">
        <v>1391</v>
      </c>
      <c r="C123" s="5" t="s">
        <v>1299</v>
      </c>
      <c r="D123" s="5" t="s">
        <v>1197</v>
      </c>
      <c r="F123" s="5" t="s">
        <v>1198</v>
      </c>
      <c r="G123" s="5" t="s">
        <v>1199</v>
      </c>
      <c r="H123" s="5" t="s">
        <v>1361</v>
      </c>
      <c r="Q123" s="5" t="s">
        <v>470</v>
      </c>
      <c r="R123" s="5" t="s">
        <v>684</v>
      </c>
      <c r="S123" s="5">
        <v>70120201</v>
      </c>
      <c r="T123" s="5" t="s">
        <v>686</v>
      </c>
      <c r="U123" s="5">
        <v>4218.75</v>
      </c>
      <c r="V123" s="5">
        <v>3292.2</v>
      </c>
      <c r="W123" s="5" t="s">
        <v>512</v>
      </c>
      <c r="X123" s="6">
        <v>46082</v>
      </c>
      <c r="Y123" s="6">
        <v>46172</v>
      </c>
      <c r="Z123" s="6">
        <v>46082</v>
      </c>
      <c r="AA123" s="6">
        <v>46157</v>
      </c>
      <c r="AB123" s="5" t="s">
        <v>478</v>
      </c>
      <c r="AC123" s="5" t="s">
        <v>478</v>
      </c>
      <c r="AD123" s="5" t="s">
        <v>1201</v>
      </c>
      <c r="AE123" s="5" t="s">
        <v>1392</v>
      </c>
      <c r="AF123" s="11">
        <v>46084</v>
      </c>
      <c r="AG123" s="5" t="s">
        <v>1393</v>
      </c>
      <c r="AH123" s="11">
        <v>46091</v>
      </c>
      <c r="AI123" s="5" t="s">
        <v>1394</v>
      </c>
      <c r="AJ123" s="5" t="s">
        <v>1395</v>
      </c>
    </row>
    <row r="124" spans="1:41" ht="15.75" customHeight="1" x14ac:dyDescent="0.3">
      <c r="A124" s="5">
        <v>117</v>
      </c>
      <c r="B124" s="5" t="s">
        <v>1396</v>
      </c>
      <c r="C124" s="5" t="s">
        <v>1299</v>
      </c>
      <c r="D124" s="5" t="s">
        <v>1197</v>
      </c>
      <c r="F124" s="5" t="s">
        <v>1198</v>
      </c>
      <c r="G124" s="5" t="s">
        <v>1199</v>
      </c>
      <c r="H124" s="5" t="s">
        <v>1361</v>
      </c>
      <c r="Q124" s="5" t="s">
        <v>470</v>
      </c>
      <c r="R124" s="5" t="s">
        <v>493</v>
      </c>
      <c r="S124" s="5">
        <v>70170101</v>
      </c>
      <c r="T124" s="5" t="s">
        <v>494</v>
      </c>
      <c r="U124" s="5">
        <v>4218.75</v>
      </c>
      <c r="V124" s="5">
        <v>3292.2</v>
      </c>
      <c r="W124" s="5" t="s">
        <v>512</v>
      </c>
      <c r="X124" s="6">
        <v>46082</v>
      </c>
      <c r="Y124" s="6">
        <v>46172</v>
      </c>
      <c r="Z124" s="6">
        <v>46082</v>
      </c>
      <c r="AA124" s="6">
        <v>46157</v>
      </c>
      <c r="AB124" s="5" t="s">
        <v>478</v>
      </c>
      <c r="AC124" s="5" t="s">
        <v>478</v>
      </c>
      <c r="AD124" s="5" t="s">
        <v>1201</v>
      </c>
      <c r="AE124" s="5" t="s">
        <v>1397</v>
      </c>
      <c r="AF124" s="11">
        <v>46084</v>
      </c>
      <c r="AG124" s="5" t="s">
        <v>1398</v>
      </c>
      <c r="AH124" s="11">
        <v>46091</v>
      </c>
      <c r="AI124" s="5" t="s">
        <v>1399</v>
      </c>
      <c r="AJ124" s="5" t="s">
        <v>1400</v>
      </c>
    </row>
    <row r="125" spans="1:41" ht="15.75" customHeight="1" x14ac:dyDescent="0.3">
      <c r="A125" s="5">
        <v>118</v>
      </c>
      <c r="B125" s="5" t="s">
        <v>1401</v>
      </c>
      <c r="C125" s="5" t="s">
        <v>1299</v>
      </c>
      <c r="D125" s="5" t="s">
        <v>1197</v>
      </c>
      <c r="F125" s="5" t="s">
        <v>1198</v>
      </c>
      <c r="G125" s="5" t="s">
        <v>1199</v>
      </c>
      <c r="H125" s="5" t="s">
        <v>1361</v>
      </c>
      <c r="Q125" s="5" t="s">
        <v>470</v>
      </c>
      <c r="R125" s="5" t="s">
        <v>510</v>
      </c>
      <c r="S125" s="5">
        <v>70180103</v>
      </c>
      <c r="T125" s="5" t="s">
        <v>511</v>
      </c>
      <c r="U125" s="5">
        <v>4218.75</v>
      </c>
      <c r="V125" s="5">
        <v>3292.2</v>
      </c>
      <c r="W125" s="5" t="s">
        <v>512</v>
      </c>
      <c r="X125" s="6">
        <v>46082</v>
      </c>
      <c r="Y125" s="6">
        <v>46172</v>
      </c>
      <c r="Z125" s="6">
        <v>46082</v>
      </c>
      <c r="AA125" s="6">
        <v>46157</v>
      </c>
      <c r="AB125" s="5" t="s">
        <v>478</v>
      </c>
      <c r="AC125" s="5" t="s">
        <v>478</v>
      </c>
      <c r="AD125" s="5" t="s">
        <v>1201</v>
      </c>
      <c r="AE125" s="5" t="s">
        <v>1402</v>
      </c>
      <c r="AF125" s="11">
        <v>46084</v>
      </c>
      <c r="AG125" s="5" t="s">
        <v>1403</v>
      </c>
      <c r="AH125" s="11">
        <v>46091</v>
      </c>
      <c r="AI125" s="5" t="s">
        <v>1404</v>
      </c>
      <c r="AJ125" s="5" t="s">
        <v>1405</v>
      </c>
    </row>
    <row r="126" spans="1:41" ht="15.75" customHeight="1" x14ac:dyDescent="0.3">
      <c r="A126" s="5">
        <v>119</v>
      </c>
      <c r="B126" s="5" t="s">
        <v>1406</v>
      </c>
      <c r="C126" s="5" t="s">
        <v>1299</v>
      </c>
      <c r="D126" s="5" t="s">
        <v>1197</v>
      </c>
      <c r="F126" s="5" t="s">
        <v>1198</v>
      </c>
      <c r="G126" s="5" t="s">
        <v>1199</v>
      </c>
      <c r="H126" s="5" t="s">
        <v>1361</v>
      </c>
      <c r="Q126" s="5" t="s">
        <v>470</v>
      </c>
      <c r="R126" s="5" t="s">
        <v>538</v>
      </c>
      <c r="S126" s="5">
        <v>70150101</v>
      </c>
      <c r="T126" s="5" t="s">
        <v>540</v>
      </c>
      <c r="U126" s="5">
        <v>4218.75</v>
      </c>
      <c r="V126" s="5">
        <v>3292.2</v>
      </c>
      <c r="W126" s="5" t="s">
        <v>512</v>
      </c>
      <c r="X126" s="6">
        <v>46082</v>
      </c>
      <c r="Y126" s="6">
        <v>46172</v>
      </c>
      <c r="Z126" s="6">
        <v>46082</v>
      </c>
      <c r="AA126" s="6">
        <v>46172</v>
      </c>
      <c r="AB126" s="5" t="s">
        <v>478</v>
      </c>
      <c r="AC126" s="5" t="s">
        <v>478</v>
      </c>
      <c r="AD126" s="5" t="s">
        <v>1201</v>
      </c>
      <c r="AE126" s="5" t="s">
        <v>1407</v>
      </c>
      <c r="AF126" s="11">
        <v>46084</v>
      </c>
      <c r="AG126" s="5" t="s">
        <v>1408</v>
      </c>
      <c r="AH126" s="11">
        <v>46091</v>
      </c>
      <c r="AI126" s="5" t="s">
        <v>1409</v>
      </c>
      <c r="AJ126" s="5" t="s">
        <v>1410</v>
      </c>
    </row>
    <row r="127" spans="1:41" ht="15.75" customHeight="1" x14ac:dyDescent="0.3">
      <c r="A127" s="5">
        <v>120</v>
      </c>
      <c r="B127" s="5" t="s">
        <v>1411</v>
      </c>
      <c r="C127" s="5" t="s">
        <v>1299</v>
      </c>
      <c r="D127" s="5" t="s">
        <v>1197</v>
      </c>
      <c r="F127" s="5" t="s">
        <v>1198</v>
      </c>
      <c r="G127" s="5" t="s">
        <v>1199</v>
      </c>
      <c r="H127" s="5" t="s">
        <v>1361</v>
      </c>
      <c r="Q127" s="5" t="s">
        <v>470</v>
      </c>
      <c r="R127" s="5" t="s">
        <v>804</v>
      </c>
      <c r="S127" s="5">
        <v>70230101</v>
      </c>
      <c r="T127" s="5" t="s">
        <v>1412</v>
      </c>
      <c r="U127" s="5">
        <v>4218.75</v>
      </c>
      <c r="V127" s="5">
        <v>3292.2</v>
      </c>
      <c r="W127" s="5" t="s">
        <v>512</v>
      </c>
      <c r="X127" s="6">
        <v>46082</v>
      </c>
      <c r="Y127" s="6">
        <v>46203</v>
      </c>
      <c r="Z127" s="6">
        <v>46082</v>
      </c>
      <c r="AA127" s="6">
        <v>46167</v>
      </c>
      <c r="AB127" s="5" t="s">
        <v>478</v>
      </c>
      <c r="AC127" s="5" t="s">
        <v>478</v>
      </c>
      <c r="AD127" s="5" t="s">
        <v>1201</v>
      </c>
      <c r="AE127" s="5" t="s">
        <v>1413</v>
      </c>
      <c r="AF127" s="11">
        <v>46084</v>
      </c>
      <c r="AG127" s="5" t="s">
        <v>1414</v>
      </c>
      <c r="AH127" s="11">
        <v>46091</v>
      </c>
      <c r="AI127" s="5" t="s">
        <v>1415</v>
      </c>
      <c r="AJ127" s="5" t="s">
        <v>1416</v>
      </c>
    </row>
    <row r="128" spans="1:41" ht="15.75" customHeight="1" x14ac:dyDescent="0.3">
      <c r="A128" s="5">
        <v>121</v>
      </c>
      <c r="B128" s="5" t="s">
        <v>1417</v>
      </c>
      <c r="C128" s="5" t="s">
        <v>1299</v>
      </c>
      <c r="D128" s="5" t="s">
        <v>1197</v>
      </c>
      <c r="F128" s="5" t="s">
        <v>1198</v>
      </c>
      <c r="G128" s="5" t="s">
        <v>1199</v>
      </c>
      <c r="H128" s="5" t="s">
        <v>1361</v>
      </c>
      <c r="Q128" s="5" t="s">
        <v>470</v>
      </c>
      <c r="R128" s="5" t="s">
        <v>806</v>
      </c>
      <c r="S128" s="5">
        <v>70220101</v>
      </c>
      <c r="T128" s="5" t="s">
        <v>1418</v>
      </c>
      <c r="U128" s="5">
        <v>4218.75</v>
      </c>
      <c r="V128" s="5">
        <v>3292.2</v>
      </c>
      <c r="W128" s="5" t="s">
        <v>512</v>
      </c>
      <c r="X128" s="6">
        <v>46082</v>
      </c>
      <c r="Y128" s="6">
        <v>46172</v>
      </c>
      <c r="Z128" s="6">
        <v>46082</v>
      </c>
      <c r="AA128" s="6">
        <v>46157</v>
      </c>
      <c r="AB128" s="5" t="s">
        <v>478</v>
      </c>
      <c r="AC128" s="5" t="s">
        <v>478</v>
      </c>
      <c r="AD128" s="5" t="s">
        <v>1201</v>
      </c>
      <c r="AE128" s="5" t="s">
        <v>1419</v>
      </c>
      <c r="AF128" s="11">
        <v>46084</v>
      </c>
      <c r="AG128" s="5" t="s">
        <v>1420</v>
      </c>
      <c r="AH128" s="11">
        <v>46091</v>
      </c>
      <c r="AI128" s="5" t="s">
        <v>1421</v>
      </c>
      <c r="AJ128" s="5" t="s">
        <v>1422</v>
      </c>
    </row>
    <row r="129" spans="1:39" ht="15.75" customHeight="1" x14ac:dyDescent="0.3">
      <c r="A129" s="5">
        <v>122</v>
      </c>
      <c r="B129" s="5" t="s">
        <v>1423</v>
      </c>
      <c r="C129" s="5" t="s">
        <v>1299</v>
      </c>
      <c r="D129" s="5" t="s">
        <v>1197</v>
      </c>
      <c r="F129" s="5" t="s">
        <v>1198</v>
      </c>
      <c r="G129" s="5" t="s">
        <v>1199</v>
      </c>
      <c r="H129" s="5" t="s">
        <v>1361</v>
      </c>
      <c r="Q129" s="5" t="s">
        <v>470</v>
      </c>
      <c r="R129" s="5" t="s">
        <v>810</v>
      </c>
      <c r="S129" s="5">
        <v>70200101</v>
      </c>
      <c r="T129" s="5" t="s">
        <v>1424</v>
      </c>
      <c r="U129" s="5">
        <v>4218.75</v>
      </c>
      <c r="V129" s="5">
        <v>3292.2</v>
      </c>
      <c r="W129" s="5" t="s">
        <v>512</v>
      </c>
      <c r="X129" s="6">
        <v>46082</v>
      </c>
      <c r="Y129" s="6">
        <v>46172</v>
      </c>
      <c r="Z129" s="6">
        <v>46082</v>
      </c>
      <c r="AA129" s="6">
        <v>46157</v>
      </c>
      <c r="AB129" s="5" t="s">
        <v>478</v>
      </c>
      <c r="AC129" s="5" t="s">
        <v>478</v>
      </c>
      <c r="AD129" s="5" t="s">
        <v>1201</v>
      </c>
      <c r="AE129" s="5" t="s">
        <v>1425</v>
      </c>
      <c r="AF129" s="11">
        <v>46084</v>
      </c>
      <c r="AG129" s="5" t="s">
        <v>1426</v>
      </c>
      <c r="AH129" s="11">
        <v>46091</v>
      </c>
      <c r="AI129" s="5" t="s">
        <v>1427</v>
      </c>
      <c r="AJ129" s="5" t="s">
        <v>1428</v>
      </c>
    </row>
    <row r="130" spans="1:39" ht="15.75" customHeight="1" x14ac:dyDescent="0.3">
      <c r="A130" s="5">
        <v>123</v>
      </c>
      <c r="B130" s="5" t="s">
        <v>1429</v>
      </c>
      <c r="C130" s="5" t="s">
        <v>1299</v>
      </c>
      <c r="D130" s="5" t="s">
        <v>1197</v>
      </c>
      <c r="F130" s="5" t="s">
        <v>1198</v>
      </c>
      <c r="G130" s="5" t="s">
        <v>1199</v>
      </c>
      <c r="H130" s="5" t="s">
        <v>1430</v>
      </c>
      <c r="Q130" s="5" t="s">
        <v>470</v>
      </c>
      <c r="R130" s="5" t="s">
        <v>559</v>
      </c>
      <c r="S130" s="5">
        <v>10110205</v>
      </c>
      <c r="T130" s="5" t="s">
        <v>850</v>
      </c>
      <c r="U130" s="5">
        <v>4218.75</v>
      </c>
      <c r="V130" s="5">
        <v>3292.2</v>
      </c>
      <c r="W130" s="5" t="s">
        <v>512</v>
      </c>
      <c r="X130" s="6">
        <v>46082</v>
      </c>
      <c r="Y130" s="6">
        <v>46082</v>
      </c>
      <c r="Z130" s="6">
        <v>46082</v>
      </c>
      <c r="AA130" s="6">
        <v>46172</v>
      </c>
      <c r="AB130" s="5" t="s">
        <v>478</v>
      </c>
      <c r="AC130" s="5" t="s">
        <v>478</v>
      </c>
      <c r="AD130" s="5" t="s">
        <v>1201</v>
      </c>
      <c r="AE130" s="5" t="s">
        <v>1431</v>
      </c>
      <c r="AF130" s="11">
        <v>46084</v>
      </c>
      <c r="AG130" s="5" t="s">
        <v>1432</v>
      </c>
      <c r="AH130" s="11">
        <v>46091</v>
      </c>
      <c r="AI130" s="5" t="s">
        <v>1433</v>
      </c>
      <c r="AJ130" s="5" t="s">
        <v>1434</v>
      </c>
    </row>
    <row r="131" spans="1:39" ht="15.75" customHeight="1" x14ac:dyDescent="0.3">
      <c r="A131" s="5">
        <v>124</v>
      </c>
      <c r="B131" s="5" t="s">
        <v>1435</v>
      </c>
      <c r="C131" s="5" t="s">
        <v>1299</v>
      </c>
      <c r="D131" s="5" t="s">
        <v>1197</v>
      </c>
      <c r="F131" s="5" t="s">
        <v>1198</v>
      </c>
      <c r="G131" s="5" t="s">
        <v>1199</v>
      </c>
      <c r="H131" s="5" t="s">
        <v>1436</v>
      </c>
      <c r="Q131" s="5" t="s">
        <v>470</v>
      </c>
      <c r="R131" s="5" t="s">
        <v>774</v>
      </c>
      <c r="S131" s="5">
        <v>70110101</v>
      </c>
      <c r="T131" s="5" t="s">
        <v>775</v>
      </c>
      <c r="U131" s="5">
        <v>4218.75</v>
      </c>
      <c r="V131" s="5">
        <v>3292.2</v>
      </c>
      <c r="W131" s="5" t="s">
        <v>512</v>
      </c>
      <c r="X131" s="6">
        <v>46082</v>
      </c>
      <c r="Y131" s="6">
        <v>46172</v>
      </c>
      <c r="Z131" s="6">
        <v>46082</v>
      </c>
      <c r="AA131" s="6">
        <v>46157</v>
      </c>
      <c r="AB131" s="5" t="s">
        <v>478</v>
      </c>
      <c r="AC131" s="5" t="s">
        <v>478</v>
      </c>
      <c r="AD131" s="5" t="s">
        <v>1201</v>
      </c>
      <c r="AE131" s="5" t="s">
        <v>1437</v>
      </c>
      <c r="AF131" s="11">
        <v>46084</v>
      </c>
      <c r="AG131" s="5" t="s">
        <v>1438</v>
      </c>
      <c r="AH131" s="11">
        <v>46091</v>
      </c>
      <c r="AI131" s="5" t="s">
        <v>1439</v>
      </c>
      <c r="AJ131" s="5" t="s">
        <v>1434</v>
      </c>
    </row>
    <row r="132" spans="1:39" ht="15.75" customHeight="1" x14ac:dyDescent="0.3">
      <c r="A132" s="5">
        <v>125</v>
      </c>
      <c r="B132" s="5" t="s">
        <v>1440</v>
      </c>
      <c r="C132" s="5" t="s">
        <v>1299</v>
      </c>
      <c r="D132" s="5" t="s">
        <v>1197</v>
      </c>
      <c r="F132" s="5" t="s">
        <v>1198</v>
      </c>
      <c r="G132" s="5" t="s">
        <v>1199</v>
      </c>
      <c r="H132" s="5" t="s">
        <v>1441</v>
      </c>
      <c r="Q132" s="5" t="s">
        <v>470</v>
      </c>
      <c r="R132" s="5" t="s">
        <v>559</v>
      </c>
      <c r="S132" s="5">
        <v>10110204</v>
      </c>
      <c r="T132" s="5" t="s">
        <v>561</v>
      </c>
      <c r="U132" s="5">
        <v>4218.75</v>
      </c>
      <c r="V132" s="5">
        <v>3292.2</v>
      </c>
      <c r="W132" s="5" t="s">
        <v>512</v>
      </c>
      <c r="X132" s="6">
        <v>46082</v>
      </c>
      <c r="Y132" s="6">
        <v>46082</v>
      </c>
      <c r="Z132" s="6">
        <v>46082</v>
      </c>
      <c r="AA132" s="6">
        <v>46157</v>
      </c>
      <c r="AB132" s="5" t="s">
        <v>478</v>
      </c>
      <c r="AC132" s="5" t="s">
        <v>478</v>
      </c>
      <c r="AD132" s="5" t="s">
        <v>1201</v>
      </c>
      <c r="AE132" s="5" t="s">
        <v>1442</v>
      </c>
      <c r="AF132" s="11">
        <v>46084</v>
      </c>
      <c r="AG132" s="5" t="s">
        <v>1443</v>
      </c>
      <c r="AH132" s="11">
        <v>46091</v>
      </c>
      <c r="AI132" s="5" t="s">
        <v>1444</v>
      </c>
      <c r="AJ132" s="5" t="s">
        <v>1445</v>
      </c>
    </row>
    <row r="133" spans="1:39" ht="15.75" customHeight="1" x14ac:dyDescent="0.3">
      <c r="A133" s="5">
        <v>126</v>
      </c>
      <c r="B133" s="5" t="s">
        <v>1446</v>
      </c>
      <c r="C133" s="5" t="s">
        <v>1299</v>
      </c>
      <c r="D133" s="5" t="s">
        <v>1447</v>
      </c>
      <c r="F133" s="5" t="s">
        <v>1448</v>
      </c>
      <c r="G133" s="5" t="s">
        <v>1449</v>
      </c>
      <c r="H133" s="5" t="s">
        <v>1450</v>
      </c>
      <c r="Q133" s="5" t="s">
        <v>470</v>
      </c>
      <c r="R133" s="5" t="s">
        <v>527</v>
      </c>
      <c r="S133" s="5">
        <v>10220111</v>
      </c>
      <c r="T133" s="5" t="s">
        <v>528</v>
      </c>
      <c r="U133" s="5">
        <v>28600</v>
      </c>
      <c r="W133" s="5" t="s">
        <v>474</v>
      </c>
      <c r="X133" s="10"/>
      <c r="Y133" s="10"/>
      <c r="Z133" s="10"/>
      <c r="AA133" s="10"/>
      <c r="AB133" s="5" t="s">
        <v>711</v>
      </c>
      <c r="AD133" s="5" t="s">
        <v>1451</v>
      </c>
      <c r="AI133" s="5" t="s">
        <v>1452</v>
      </c>
      <c r="AJ133" s="5" t="s">
        <v>1453</v>
      </c>
      <c r="AM133" s="5" t="s">
        <v>1454</v>
      </c>
    </row>
    <row r="134" spans="1:39" ht="15.75" customHeight="1" x14ac:dyDescent="0.3">
      <c r="A134" s="5">
        <v>127</v>
      </c>
      <c r="B134" s="5" t="s">
        <v>1455</v>
      </c>
      <c r="C134" s="5" t="s">
        <v>1299</v>
      </c>
      <c r="D134" s="5" t="s">
        <v>1447</v>
      </c>
      <c r="F134" s="5" t="s">
        <v>1448</v>
      </c>
      <c r="G134" s="5" t="s">
        <v>1449</v>
      </c>
      <c r="H134" s="5" t="s">
        <v>1450</v>
      </c>
      <c r="Q134" s="5" t="s">
        <v>470</v>
      </c>
      <c r="R134" s="5" t="s">
        <v>649</v>
      </c>
      <c r="S134" s="5">
        <v>10220106</v>
      </c>
      <c r="T134" s="5" t="s">
        <v>651</v>
      </c>
      <c r="U134" s="5">
        <v>26000</v>
      </c>
      <c r="W134" s="5" t="s">
        <v>474</v>
      </c>
      <c r="X134" s="10"/>
      <c r="Y134" s="10"/>
      <c r="Z134" s="10"/>
      <c r="AA134" s="10"/>
      <c r="AB134" s="5" t="s">
        <v>711</v>
      </c>
      <c r="AD134" s="5" t="s">
        <v>1451</v>
      </c>
      <c r="AI134" s="5" t="s">
        <v>1456</v>
      </c>
      <c r="AJ134" s="5" t="s">
        <v>1453</v>
      </c>
      <c r="AM134" s="5" t="s">
        <v>1454</v>
      </c>
    </row>
    <row r="135" spans="1:39" ht="15.75" customHeight="1" x14ac:dyDescent="0.3">
      <c r="A135" s="5">
        <v>128</v>
      </c>
      <c r="B135" s="5" t="s">
        <v>1457</v>
      </c>
      <c r="C135" s="5" t="s">
        <v>1299</v>
      </c>
      <c r="D135" s="5" t="s">
        <v>1447</v>
      </c>
      <c r="F135" s="5" t="s">
        <v>1448</v>
      </c>
      <c r="G135" s="5" t="s">
        <v>1449</v>
      </c>
      <c r="H135" s="5" t="s">
        <v>1450</v>
      </c>
      <c r="Q135" s="5" t="s">
        <v>470</v>
      </c>
      <c r="R135" s="5" t="s">
        <v>588</v>
      </c>
      <c r="S135" s="5">
        <v>10220108</v>
      </c>
      <c r="T135" s="5" t="s">
        <v>590</v>
      </c>
      <c r="U135" s="5">
        <v>15600</v>
      </c>
      <c r="W135" s="5" t="s">
        <v>474</v>
      </c>
      <c r="X135" s="10"/>
      <c r="Y135" s="10"/>
      <c r="Z135" s="10"/>
      <c r="AA135" s="10"/>
      <c r="AB135" s="5" t="s">
        <v>711</v>
      </c>
      <c r="AD135" s="5" t="s">
        <v>1451</v>
      </c>
      <c r="AI135" s="5" t="s">
        <v>1458</v>
      </c>
      <c r="AJ135" s="5" t="s">
        <v>1453</v>
      </c>
      <c r="AM135" s="5" t="s">
        <v>1454</v>
      </c>
    </row>
    <row r="136" spans="1:39" ht="15.75" customHeight="1" x14ac:dyDescent="0.3">
      <c r="A136" s="5">
        <v>129</v>
      </c>
      <c r="B136" s="5" t="s">
        <v>1459</v>
      </c>
      <c r="C136" s="5" t="s">
        <v>1299</v>
      </c>
      <c r="D136" s="5" t="s">
        <v>1447</v>
      </c>
      <c r="F136" s="5" t="s">
        <v>1448</v>
      </c>
      <c r="G136" s="5" t="s">
        <v>1449</v>
      </c>
      <c r="H136" s="5" t="s">
        <v>1450</v>
      </c>
      <c r="Q136" s="5" t="s">
        <v>470</v>
      </c>
      <c r="R136" s="5" t="s">
        <v>471</v>
      </c>
      <c r="S136" s="5">
        <v>10220110</v>
      </c>
      <c r="T136" s="5" t="s">
        <v>472</v>
      </c>
      <c r="U136" s="5">
        <v>20800</v>
      </c>
      <c r="W136" s="5" t="s">
        <v>474</v>
      </c>
      <c r="X136" s="10"/>
      <c r="Y136" s="10"/>
      <c r="Z136" s="10"/>
      <c r="AA136" s="10"/>
      <c r="AB136" s="5" t="s">
        <v>711</v>
      </c>
      <c r="AD136" s="5" t="s">
        <v>1451</v>
      </c>
      <c r="AI136" s="5" t="s">
        <v>1460</v>
      </c>
      <c r="AJ136" s="5" t="s">
        <v>1453</v>
      </c>
      <c r="AM136" s="5" t="s">
        <v>1454</v>
      </c>
    </row>
    <row r="137" spans="1:39" ht="15.75" customHeight="1" x14ac:dyDescent="0.3">
      <c r="A137" s="5">
        <v>130</v>
      </c>
      <c r="B137" s="5" t="s">
        <v>1461</v>
      </c>
      <c r="C137" s="5" t="s">
        <v>1299</v>
      </c>
      <c r="D137" s="5" t="s">
        <v>1447</v>
      </c>
      <c r="F137" s="5" t="s">
        <v>1448</v>
      </c>
      <c r="G137" s="5" t="s">
        <v>1449</v>
      </c>
      <c r="H137" s="5" t="s">
        <v>1450</v>
      </c>
      <c r="Q137" s="5" t="s">
        <v>470</v>
      </c>
      <c r="R137" s="5" t="s">
        <v>664</v>
      </c>
      <c r="S137" s="5">
        <v>70160101</v>
      </c>
      <c r="T137" s="5" t="s">
        <v>665</v>
      </c>
      <c r="U137" s="5">
        <v>18200</v>
      </c>
      <c r="W137" s="5" t="s">
        <v>474</v>
      </c>
      <c r="X137" s="10"/>
      <c r="Y137" s="10"/>
      <c r="Z137" s="10"/>
      <c r="AA137" s="10"/>
      <c r="AB137" s="5" t="s">
        <v>711</v>
      </c>
      <c r="AD137" s="5" t="s">
        <v>1451</v>
      </c>
      <c r="AI137" s="5" t="s">
        <v>1462</v>
      </c>
      <c r="AJ137" s="5" t="s">
        <v>1453</v>
      </c>
      <c r="AM137" s="5" t="s">
        <v>1454</v>
      </c>
    </row>
    <row r="138" spans="1:39" ht="15.75" customHeight="1" x14ac:dyDescent="0.3">
      <c r="A138" s="5">
        <v>131</v>
      </c>
      <c r="B138" s="5" t="s">
        <v>1463</v>
      </c>
      <c r="C138" s="5" t="s">
        <v>1299</v>
      </c>
      <c r="D138" s="5" t="s">
        <v>1447</v>
      </c>
      <c r="F138" s="5" t="s">
        <v>1448</v>
      </c>
      <c r="G138" s="5" t="s">
        <v>1449</v>
      </c>
      <c r="H138" s="5" t="s">
        <v>1450</v>
      </c>
      <c r="Q138" s="5" t="s">
        <v>470</v>
      </c>
      <c r="R138" s="5" t="s">
        <v>726</v>
      </c>
      <c r="S138" s="5">
        <v>70190101</v>
      </c>
      <c r="T138" s="5" t="s">
        <v>727</v>
      </c>
      <c r="U138" s="5">
        <v>15600</v>
      </c>
      <c r="W138" s="5" t="s">
        <v>474</v>
      </c>
      <c r="X138" s="10"/>
      <c r="Y138" s="10"/>
      <c r="Z138" s="10"/>
      <c r="AA138" s="10"/>
      <c r="AB138" s="5" t="s">
        <v>711</v>
      </c>
      <c r="AD138" s="5" t="s">
        <v>1451</v>
      </c>
      <c r="AI138" s="5" t="s">
        <v>1464</v>
      </c>
      <c r="AJ138" s="5" t="s">
        <v>1465</v>
      </c>
      <c r="AK138" s="11">
        <v>46055</v>
      </c>
      <c r="AL138" s="5" t="s">
        <v>501</v>
      </c>
      <c r="AM138" s="5" t="s">
        <v>1454</v>
      </c>
    </row>
    <row r="139" spans="1:39" ht="15.75" customHeight="1" x14ac:dyDescent="0.3">
      <c r="A139" s="5">
        <v>132</v>
      </c>
      <c r="B139" s="5" t="s">
        <v>1466</v>
      </c>
      <c r="C139" s="5" t="s">
        <v>1299</v>
      </c>
      <c r="D139" s="5" t="s">
        <v>1447</v>
      </c>
      <c r="F139" s="5" t="s">
        <v>1448</v>
      </c>
      <c r="G139" s="5" t="s">
        <v>1449</v>
      </c>
      <c r="H139" s="5" t="s">
        <v>1450</v>
      </c>
      <c r="Q139" s="5" t="s">
        <v>470</v>
      </c>
      <c r="R139" s="5" t="s">
        <v>684</v>
      </c>
      <c r="S139" s="5">
        <v>70120201</v>
      </c>
      <c r="T139" s="5" t="s">
        <v>686</v>
      </c>
      <c r="U139" s="5">
        <v>26000</v>
      </c>
      <c r="W139" s="5" t="s">
        <v>474</v>
      </c>
      <c r="X139" s="10"/>
      <c r="Y139" s="10"/>
      <c r="Z139" s="10"/>
      <c r="AA139" s="10"/>
      <c r="AB139" s="5" t="s">
        <v>711</v>
      </c>
      <c r="AD139" s="5" t="s">
        <v>1451</v>
      </c>
      <c r="AI139" s="5" t="s">
        <v>1467</v>
      </c>
      <c r="AJ139" s="5" t="s">
        <v>1453</v>
      </c>
      <c r="AM139" s="5" t="s">
        <v>1454</v>
      </c>
    </row>
    <row r="140" spans="1:39" ht="15.75" customHeight="1" x14ac:dyDescent="0.3">
      <c r="A140" s="5">
        <v>133</v>
      </c>
      <c r="B140" s="5" t="s">
        <v>1468</v>
      </c>
      <c r="C140" s="5" t="s">
        <v>1299</v>
      </c>
      <c r="D140" s="5" t="s">
        <v>1447</v>
      </c>
      <c r="F140" s="5" t="s">
        <v>1448</v>
      </c>
      <c r="G140" s="5" t="s">
        <v>1449</v>
      </c>
      <c r="H140" s="5" t="s">
        <v>1450</v>
      </c>
      <c r="Q140" s="5" t="s">
        <v>470</v>
      </c>
      <c r="R140" s="5" t="s">
        <v>493</v>
      </c>
      <c r="S140" s="5">
        <v>70170101</v>
      </c>
      <c r="T140" s="5" t="s">
        <v>494</v>
      </c>
      <c r="U140" s="5">
        <v>18200</v>
      </c>
      <c r="W140" s="5" t="s">
        <v>474</v>
      </c>
      <c r="X140" s="10"/>
      <c r="Y140" s="10"/>
      <c r="Z140" s="10"/>
      <c r="AA140" s="10"/>
      <c r="AB140" s="5" t="s">
        <v>711</v>
      </c>
      <c r="AD140" s="5" t="s">
        <v>1451</v>
      </c>
      <c r="AI140" s="5" t="s">
        <v>1469</v>
      </c>
      <c r="AJ140" s="5" t="s">
        <v>1453</v>
      </c>
      <c r="AM140" s="5" t="s">
        <v>1454</v>
      </c>
    </row>
    <row r="141" spans="1:39" ht="15.75" customHeight="1" x14ac:dyDescent="0.3">
      <c r="A141" s="5">
        <v>134</v>
      </c>
      <c r="B141" s="5" t="s">
        <v>1470</v>
      </c>
      <c r="C141" s="5" t="s">
        <v>1299</v>
      </c>
      <c r="D141" s="5" t="s">
        <v>1447</v>
      </c>
      <c r="F141" s="5" t="s">
        <v>1448</v>
      </c>
      <c r="G141" s="5" t="s">
        <v>1449</v>
      </c>
      <c r="H141" s="5" t="s">
        <v>1450</v>
      </c>
      <c r="Q141" s="5" t="s">
        <v>470</v>
      </c>
      <c r="R141" s="5" t="s">
        <v>510</v>
      </c>
      <c r="S141" s="5">
        <v>70180103</v>
      </c>
      <c r="T141" s="5" t="s">
        <v>511</v>
      </c>
      <c r="U141" s="5">
        <v>20800</v>
      </c>
      <c r="W141" s="5" t="s">
        <v>474</v>
      </c>
      <c r="X141" s="10"/>
      <c r="Y141" s="10"/>
      <c r="Z141" s="10"/>
      <c r="AA141" s="10"/>
      <c r="AB141" s="5" t="s">
        <v>711</v>
      </c>
      <c r="AD141" s="5" t="s">
        <v>1451</v>
      </c>
      <c r="AI141" s="5" t="s">
        <v>1471</v>
      </c>
      <c r="AJ141" s="5" t="s">
        <v>1453</v>
      </c>
      <c r="AM141" s="5" t="s">
        <v>1454</v>
      </c>
    </row>
    <row r="142" spans="1:39" ht="15.75" customHeight="1" x14ac:dyDescent="0.3">
      <c r="A142" s="5">
        <v>135</v>
      </c>
      <c r="B142" s="5" t="s">
        <v>1472</v>
      </c>
      <c r="C142" s="5" t="s">
        <v>1299</v>
      </c>
      <c r="D142" s="5" t="s">
        <v>1447</v>
      </c>
      <c r="F142" s="5" t="s">
        <v>1448</v>
      </c>
      <c r="G142" s="5" t="s">
        <v>1449</v>
      </c>
      <c r="H142" s="5" t="s">
        <v>1450</v>
      </c>
      <c r="Q142" s="5" t="s">
        <v>470</v>
      </c>
      <c r="R142" s="5" t="s">
        <v>538</v>
      </c>
      <c r="S142" s="5">
        <v>70150101</v>
      </c>
      <c r="T142" s="5" t="s">
        <v>540</v>
      </c>
      <c r="U142" s="5">
        <v>7800</v>
      </c>
      <c r="W142" s="5" t="s">
        <v>474</v>
      </c>
      <c r="X142" s="10"/>
      <c r="Y142" s="10"/>
      <c r="Z142" s="10"/>
      <c r="AA142" s="10"/>
      <c r="AB142" s="5" t="s">
        <v>711</v>
      </c>
      <c r="AD142" s="5" t="s">
        <v>1451</v>
      </c>
      <c r="AI142" s="5" t="s">
        <v>1473</v>
      </c>
      <c r="AJ142" s="5" t="s">
        <v>1453</v>
      </c>
      <c r="AM142" s="5" t="s">
        <v>1454</v>
      </c>
    </row>
    <row r="143" spans="1:39" ht="15.75" customHeight="1" x14ac:dyDescent="0.3">
      <c r="A143" s="5">
        <v>136</v>
      </c>
      <c r="B143" s="5" t="s">
        <v>1474</v>
      </c>
      <c r="C143" s="5" t="s">
        <v>1299</v>
      </c>
      <c r="D143" s="5" t="s">
        <v>1447</v>
      </c>
      <c r="F143" s="5" t="s">
        <v>1448</v>
      </c>
      <c r="G143" s="5" t="s">
        <v>1449</v>
      </c>
      <c r="H143" s="5" t="s">
        <v>1450</v>
      </c>
      <c r="Q143" s="5" t="s">
        <v>470</v>
      </c>
      <c r="R143" s="5" t="s">
        <v>804</v>
      </c>
      <c r="S143" s="5">
        <v>70230101</v>
      </c>
      <c r="T143" s="5" t="s">
        <v>1412</v>
      </c>
      <c r="U143" s="5">
        <v>2600</v>
      </c>
      <c r="W143" s="5" t="s">
        <v>474</v>
      </c>
      <c r="X143" s="10"/>
      <c r="Y143" s="10"/>
      <c r="Z143" s="10"/>
      <c r="AA143" s="10"/>
      <c r="AB143" s="5" t="s">
        <v>711</v>
      </c>
      <c r="AD143" s="5" t="s">
        <v>1451</v>
      </c>
      <c r="AI143" s="5" t="s">
        <v>1475</v>
      </c>
      <c r="AJ143" s="5" t="s">
        <v>1453</v>
      </c>
      <c r="AM143" s="5" t="s">
        <v>1454</v>
      </c>
    </row>
    <row r="144" spans="1:39" ht="15.75" customHeight="1" x14ac:dyDescent="0.3">
      <c r="A144" s="5">
        <v>137</v>
      </c>
      <c r="B144" s="5" t="s">
        <v>1476</v>
      </c>
      <c r="C144" s="5" t="s">
        <v>1299</v>
      </c>
      <c r="D144" s="5" t="s">
        <v>1447</v>
      </c>
      <c r="F144" s="5" t="s">
        <v>1448</v>
      </c>
      <c r="G144" s="5" t="s">
        <v>1449</v>
      </c>
      <c r="H144" s="5" t="s">
        <v>1450</v>
      </c>
      <c r="Q144" s="5" t="s">
        <v>470</v>
      </c>
      <c r="R144" s="5" t="s">
        <v>806</v>
      </c>
      <c r="S144" s="5">
        <v>70220101</v>
      </c>
      <c r="T144" s="5" t="s">
        <v>1418</v>
      </c>
      <c r="U144" s="5">
        <v>2600</v>
      </c>
      <c r="W144" s="5" t="s">
        <v>474</v>
      </c>
      <c r="X144" s="10"/>
      <c r="Y144" s="10"/>
      <c r="Z144" s="10"/>
      <c r="AA144" s="10"/>
      <c r="AB144" s="5" t="s">
        <v>711</v>
      </c>
      <c r="AD144" s="5" t="s">
        <v>1451</v>
      </c>
      <c r="AI144" s="5" t="s">
        <v>1477</v>
      </c>
      <c r="AJ144" s="5" t="s">
        <v>1453</v>
      </c>
      <c r="AM144" s="5" t="s">
        <v>1454</v>
      </c>
    </row>
    <row r="145" spans="1:41" ht="15.75" customHeight="1" x14ac:dyDescent="0.3">
      <c r="A145" s="5">
        <v>138</v>
      </c>
      <c r="B145" s="5" t="s">
        <v>1478</v>
      </c>
      <c r="C145" s="5" t="s">
        <v>1299</v>
      </c>
      <c r="D145" s="5" t="s">
        <v>1447</v>
      </c>
      <c r="F145" s="5" t="s">
        <v>1448</v>
      </c>
      <c r="G145" s="5" t="s">
        <v>1449</v>
      </c>
      <c r="H145" s="5" t="s">
        <v>1450</v>
      </c>
      <c r="Q145" s="5" t="s">
        <v>470</v>
      </c>
      <c r="R145" s="5" t="s">
        <v>810</v>
      </c>
      <c r="S145" s="5">
        <v>70200101</v>
      </c>
      <c r="T145" s="5" t="s">
        <v>1424</v>
      </c>
      <c r="U145" s="5">
        <v>7800</v>
      </c>
      <c r="W145" s="5" t="s">
        <v>474</v>
      </c>
      <c r="X145" s="10"/>
      <c r="Y145" s="10"/>
      <c r="Z145" s="10"/>
      <c r="AA145" s="10"/>
      <c r="AB145" s="5" t="s">
        <v>711</v>
      </c>
      <c r="AD145" s="5" t="s">
        <v>1451</v>
      </c>
      <c r="AI145" s="5" t="s">
        <v>1479</v>
      </c>
      <c r="AJ145" s="5" t="s">
        <v>1453</v>
      </c>
      <c r="AM145" s="5" t="s">
        <v>1454</v>
      </c>
    </row>
    <row r="146" spans="1:41" ht="15.75" customHeight="1" x14ac:dyDescent="0.3">
      <c r="A146" s="5">
        <v>139</v>
      </c>
      <c r="B146" s="5" t="s">
        <v>1480</v>
      </c>
      <c r="C146" s="5" t="s">
        <v>1299</v>
      </c>
      <c r="D146" s="5" t="s">
        <v>1447</v>
      </c>
      <c r="F146" s="5" t="s">
        <v>1448</v>
      </c>
      <c r="G146" s="5" t="s">
        <v>1449</v>
      </c>
      <c r="H146" s="5" t="s">
        <v>1481</v>
      </c>
      <c r="Q146" s="5" t="s">
        <v>470</v>
      </c>
      <c r="R146" s="5" t="s">
        <v>774</v>
      </c>
      <c r="S146" s="5">
        <v>70110101</v>
      </c>
      <c r="T146" s="5" t="s">
        <v>775</v>
      </c>
      <c r="U146" s="5">
        <v>2600</v>
      </c>
      <c r="W146" s="5" t="s">
        <v>474</v>
      </c>
      <c r="X146" s="10"/>
      <c r="Y146" s="10"/>
      <c r="Z146" s="10"/>
      <c r="AA146" s="10"/>
      <c r="AB146" s="5" t="s">
        <v>711</v>
      </c>
      <c r="AD146" s="5" t="s">
        <v>1451</v>
      </c>
      <c r="AI146" s="5" t="s">
        <v>1482</v>
      </c>
      <c r="AJ146" s="5" t="s">
        <v>1453</v>
      </c>
      <c r="AM146" s="5" t="s">
        <v>1454</v>
      </c>
    </row>
    <row r="147" spans="1:41" ht="15.75" customHeight="1" x14ac:dyDescent="0.3">
      <c r="A147" s="5">
        <v>140</v>
      </c>
      <c r="B147" s="5" t="s">
        <v>1483</v>
      </c>
      <c r="C147" s="5" t="s">
        <v>1299</v>
      </c>
      <c r="D147" s="5" t="s">
        <v>1447</v>
      </c>
      <c r="F147" s="5" t="s">
        <v>1448</v>
      </c>
      <c r="G147" s="5" t="s">
        <v>1449</v>
      </c>
      <c r="H147" s="5" t="s">
        <v>1484</v>
      </c>
      <c r="Q147" s="5" t="s">
        <v>470</v>
      </c>
      <c r="R147" s="5" t="s">
        <v>559</v>
      </c>
      <c r="S147" s="5">
        <v>10110206</v>
      </c>
      <c r="T147" s="5" t="s">
        <v>1485</v>
      </c>
      <c r="U147" s="5">
        <v>7800</v>
      </c>
      <c r="W147" s="5" t="s">
        <v>474</v>
      </c>
      <c r="X147" s="10"/>
      <c r="Y147" s="10"/>
      <c r="Z147" s="10"/>
      <c r="AA147" s="10"/>
      <c r="AB147" s="5" t="s">
        <v>711</v>
      </c>
      <c r="AD147" s="5" t="s">
        <v>1451</v>
      </c>
      <c r="AI147" s="5" t="s">
        <v>1486</v>
      </c>
      <c r="AJ147" s="5" t="s">
        <v>1487</v>
      </c>
      <c r="AK147" s="11">
        <v>46055</v>
      </c>
      <c r="AL147" s="5" t="s">
        <v>501</v>
      </c>
      <c r="AM147" s="5" t="s">
        <v>1454</v>
      </c>
    </row>
    <row r="148" spans="1:41" ht="15.75" customHeight="1" x14ac:dyDescent="0.3">
      <c r="A148" s="5">
        <v>141</v>
      </c>
      <c r="B148" s="5" t="s">
        <v>1488</v>
      </c>
      <c r="C148" s="5" t="s">
        <v>1299</v>
      </c>
      <c r="D148" s="5" t="s">
        <v>1447</v>
      </c>
      <c r="F148" s="5" t="s">
        <v>1448</v>
      </c>
      <c r="G148" s="5" t="s">
        <v>1449</v>
      </c>
      <c r="H148" s="5" t="s">
        <v>1489</v>
      </c>
      <c r="Q148" s="5" t="s">
        <v>470</v>
      </c>
      <c r="R148" s="5" t="s">
        <v>559</v>
      </c>
      <c r="S148" s="5">
        <v>10110205</v>
      </c>
      <c r="T148" s="5" t="s">
        <v>850</v>
      </c>
      <c r="U148" s="5">
        <v>13000</v>
      </c>
      <c r="W148" s="5" t="s">
        <v>474</v>
      </c>
      <c r="X148" s="10"/>
      <c r="Y148" s="10"/>
      <c r="Z148" s="10"/>
      <c r="AA148" s="10"/>
      <c r="AB148" s="5" t="s">
        <v>711</v>
      </c>
      <c r="AD148" s="5" t="s">
        <v>1451</v>
      </c>
      <c r="AI148" s="5" t="s">
        <v>1490</v>
      </c>
      <c r="AJ148" s="5" t="s">
        <v>1453</v>
      </c>
      <c r="AM148" s="5" t="s">
        <v>1454</v>
      </c>
    </row>
    <row r="149" spans="1:41" ht="15.75" customHeight="1" x14ac:dyDescent="0.3">
      <c r="A149" s="5">
        <v>142</v>
      </c>
      <c r="B149" s="5" t="s">
        <v>1491</v>
      </c>
      <c r="C149" s="5" t="s">
        <v>1299</v>
      </c>
      <c r="D149" s="5" t="s">
        <v>1447</v>
      </c>
      <c r="F149" s="5" t="s">
        <v>1448</v>
      </c>
      <c r="G149" s="5" t="s">
        <v>1449</v>
      </c>
      <c r="H149" s="5" t="s">
        <v>1492</v>
      </c>
      <c r="Q149" s="5" t="s">
        <v>470</v>
      </c>
      <c r="R149" s="5" t="s">
        <v>559</v>
      </c>
      <c r="S149" s="5">
        <v>10110102</v>
      </c>
      <c r="T149" s="5" t="s">
        <v>716</v>
      </c>
      <c r="U149" s="5">
        <v>5200</v>
      </c>
      <c r="W149" s="5" t="s">
        <v>474</v>
      </c>
      <c r="X149" s="10"/>
      <c r="Y149" s="10"/>
      <c r="Z149" s="10"/>
      <c r="AA149" s="10"/>
      <c r="AB149" s="5" t="s">
        <v>711</v>
      </c>
      <c r="AD149" s="5" t="s">
        <v>1451</v>
      </c>
      <c r="AI149" s="5" t="s">
        <v>1493</v>
      </c>
      <c r="AJ149" s="5" t="s">
        <v>1453</v>
      </c>
      <c r="AM149" s="5" t="s">
        <v>1454</v>
      </c>
    </row>
    <row r="150" spans="1:41" ht="15.75" customHeight="1" x14ac:dyDescent="0.3">
      <c r="A150" s="5">
        <v>143</v>
      </c>
      <c r="B150" s="5" t="s">
        <v>1494</v>
      </c>
      <c r="C150" s="5" t="s">
        <v>1299</v>
      </c>
      <c r="D150" s="5" t="s">
        <v>1447</v>
      </c>
      <c r="F150" s="5" t="s">
        <v>1448</v>
      </c>
      <c r="G150" s="5" t="s">
        <v>1449</v>
      </c>
      <c r="H150" s="5" t="s">
        <v>1495</v>
      </c>
      <c r="Q150" s="5" t="s">
        <v>470</v>
      </c>
      <c r="R150" s="5" t="s">
        <v>774</v>
      </c>
      <c r="S150" s="5">
        <v>70110103</v>
      </c>
      <c r="T150" s="5" t="s">
        <v>877</v>
      </c>
      <c r="U150" s="5">
        <v>13000</v>
      </c>
      <c r="W150" s="5" t="s">
        <v>474</v>
      </c>
      <c r="X150" s="10"/>
      <c r="Y150" s="10"/>
      <c r="Z150" s="10"/>
      <c r="AA150" s="10"/>
      <c r="AB150" s="5" t="s">
        <v>711</v>
      </c>
      <c r="AD150" s="5" t="s">
        <v>1451</v>
      </c>
      <c r="AI150" s="5" t="s">
        <v>1496</v>
      </c>
      <c r="AJ150" s="5" t="s">
        <v>1453</v>
      </c>
      <c r="AM150" s="5" t="s">
        <v>1454</v>
      </c>
    </row>
    <row r="151" spans="1:41" ht="15.75" customHeight="1" x14ac:dyDescent="0.3">
      <c r="A151" s="5">
        <v>144</v>
      </c>
      <c r="B151" s="5" t="s">
        <v>1497</v>
      </c>
      <c r="C151" s="5" t="s">
        <v>1299</v>
      </c>
      <c r="D151" s="5" t="s">
        <v>1447</v>
      </c>
      <c r="F151" s="5" t="s">
        <v>1448</v>
      </c>
      <c r="G151" s="5" t="s">
        <v>1449</v>
      </c>
      <c r="H151" s="5" t="s">
        <v>1498</v>
      </c>
      <c r="Q151" s="5" t="s">
        <v>470</v>
      </c>
      <c r="R151" s="5" t="s">
        <v>774</v>
      </c>
      <c r="S151" s="5">
        <v>70110107</v>
      </c>
      <c r="T151" s="5" t="s">
        <v>896</v>
      </c>
      <c r="U151" s="5">
        <v>10400</v>
      </c>
      <c r="W151" s="5" t="s">
        <v>474</v>
      </c>
      <c r="X151" s="10"/>
      <c r="Y151" s="10"/>
      <c r="Z151" s="10"/>
      <c r="AA151" s="10"/>
      <c r="AB151" s="5" t="s">
        <v>711</v>
      </c>
      <c r="AD151" s="5" t="s">
        <v>1451</v>
      </c>
      <c r="AI151" s="5" t="s">
        <v>1499</v>
      </c>
      <c r="AJ151" s="5" t="s">
        <v>1453</v>
      </c>
      <c r="AM151" s="5" t="s">
        <v>1500</v>
      </c>
    </row>
    <row r="152" spans="1:41" ht="15.75" customHeight="1" x14ac:dyDescent="0.3">
      <c r="A152" s="5">
        <v>145</v>
      </c>
      <c r="B152" s="5" t="s">
        <v>1501</v>
      </c>
      <c r="C152" s="5" t="s">
        <v>1299</v>
      </c>
      <c r="D152" s="5" t="s">
        <v>1447</v>
      </c>
      <c r="F152" s="5" t="s">
        <v>1448</v>
      </c>
      <c r="G152" s="5" t="s">
        <v>1449</v>
      </c>
      <c r="H152" s="5" t="s">
        <v>1502</v>
      </c>
      <c r="Q152" s="5" t="s">
        <v>470</v>
      </c>
      <c r="R152" s="5" t="s">
        <v>559</v>
      </c>
      <c r="S152" s="5">
        <v>10110201</v>
      </c>
      <c r="T152" s="5" t="s">
        <v>614</v>
      </c>
      <c r="U152" s="5">
        <v>5200</v>
      </c>
      <c r="W152" s="5" t="s">
        <v>474</v>
      </c>
      <c r="X152" s="10"/>
      <c r="Y152" s="10"/>
      <c r="Z152" s="10"/>
      <c r="AA152" s="10"/>
      <c r="AB152" s="5" t="s">
        <v>711</v>
      </c>
      <c r="AD152" s="5" t="s">
        <v>1451</v>
      </c>
      <c r="AI152" s="5" t="s">
        <v>1503</v>
      </c>
      <c r="AJ152" s="5" t="s">
        <v>1453</v>
      </c>
      <c r="AM152" s="5" t="s">
        <v>1500</v>
      </c>
    </row>
    <row r="153" spans="1:41" ht="15.75" customHeight="1" x14ac:dyDescent="0.3">
      <c r="A153" s="5">
        <v>146</v>
      </c>
      <c r="B153" s="5" t="s">
        <v>1504</v>
      </c>
      <c r="C153" s="5" t="s">
        <v>1299</v>
      </c>
      <c r="D153" s="5" t="s">
        <v>1447</v>
      </c>
      <c r="F153" s="5" t="s">
        <v>1448</v>
      </c>
      <c r="G153" s="5" t="s">
        <v>1449</v>
      </c>
      <c r="H153" s="5" t="s">
        <v>1505</v>
      </c>
      <c r="Q153" s="5" t="s">
        <v>470</v>
      </c>
      <c r="R153" s="5" t="s">
        <v>559</v>
      </c>
      <c r="S153" s="5">
        <v>10110204</v>
      </c>
      <c r="T153" s="5" t="s">
        <v>561</v>
      </c>
      <c r="U153" s="5">
        <v>7800</v>
      </c>
      <c r="W153" s="5" t="s">
        <v>512</v>
      </c>
      <c r="X153" s="10"/>
      <c r="Y153" s="10"/>
      <c r="Z153" s="10"/>
      <c r="AA153" s="10"/>
      <c r="AB153" s="5" t="s">
        <v>711</v>
      </c>
      <c r="AD153" s="5" t="s">
        <v>1451</v>
      </c>
      <c r="AI153" s="5" t="s">
        <v>1506</v>
      </c>
      <c r="AJ153" s="5" t="s">
        <v>1453</v>
      </c>
      <c r="AM153" s="5" t="s">
        <v>1507</v>
      </c>
    </row>
    <row r="154" spans="1:41" ht="15.75" customHeight="1" x14ac:dyDescent="0.3">
      <c r="A154" s="5">
        <v>147</v>
      </c>
      <c r="B154" s="5" t="s">
        <v>1508</v>
      </c>
      <c r="C154" s="5" t="s">
        <v>1299</v>
      </c>
      <c r="D154" s="5" t="s">
        <v>1197</v>
      </c>
      <c r="F154" s="5" t="s">
        <v>1198</v>
      </c>
      <c r="G154" s="5" t="s">
        <v>1199</v>
      </c>
      <c r="H154" s="5" t="s">
        <v>1509</v>
      </c>
      <c r="Q154" s="5" t="s">
        <v>470</v>
      </c>
      <c r="R154" s="5" t="s">
        <v>471</v>
      </c>
      <c r="S154" s="5">
        <v>10220110</v>
      </c>
      <c r="T154" s="5" t="s">
        <v>472</v>
      </c>
      <c r="U154" s="5">
        <v>12550.78</v>
      </c>
      <c r="V154" s="5">
        <v>12550.78</v>
      </c>
      <c r="W154" s="5" t="s">
        <v>512</v>
      </c>
      <c r="X154" s="6">
        <v>46082</v>
      </c>
      <c r="Y154" s="6">
        <v>46172</v>
      </c>
      <c r="Z154" s="6">
        <v>46082</v>
      </c>
      <c r="AA154" s="6">
        <v>46157</v>
      </c>
      <c r="AB154" s="5" t="s">
        <v>478</v>
      </c>
      <c r="AC154" s="5" t="s">
        <v>478</v>
      </c>
      <c r="AD154" s="5" t="s">
        <v>1201</v>
      </c>
      <c r="AE154" s="5" t="s">
        <v>1510</v>
      </c>
      <c r="AF154" s="11">
        <v>46049</v>
      </c>
      <c r="AG154" s="5" t="s">
        <v>1511</v>
      </c>
      <c r="AH154" s="11">
        <v>46086</v>
      </c>
      <c r="AI154" s="5" t="s">
        <v>1512</v>
      </c>
      <c r="AJ154" s="5" t="s">
        <v>1513</v>
      </c>
      <c r="AM154" s="5" t="s">
        <v>1214</v>
      </c>
    </row>
    <row r="155" spans="1:41" ht="15.75" customHeight="1" x14ac:dyDescent="0.3">
      <c r="A155" s="5">
        <v>148</v>
      </c>
      <c r="B155" s="5" t="s">
        <v>1514</v>
      </c>
      <c r="C155" s="5" t="s">
        <v>1299</v>
      </c>
      <c r="D155" s="5" t="s">
        <v>1197</v>
      </c>
      <c r="F155" s="5" t="s">
        <v>1198</v>
      </c>
      <c r="G155" s="5" t="s">
        <v>1199</v>
      </c>
      <c r="H155" s="5" t="s">
        <v>1509</v>
      </c>
      <c r="Q155" s="5" t="s">
        <v>470</v>
      </c>
      <c r="R155" s="5" t="s">
        <v>649</v>
      </c>
      <c r="S155" s="5">
        <v>10220106</v>
      </c>
      <c r="T155" s="5" t="s">
        <v>651</v>
      </c>
      <c r="U155" s="5">
        <v>19259.849999999999</v>
      </c>
      <c r="V155" s="5">
        <v>19259.849999999999</v>
      </c>
      <c r="W155" s="5" t="s">
        <v>512</v>
      </c>
      <c r="X155" s="6">
        <v>46082</v>
      </c>
      <c r="Y155" s="6">
        <v>46264</v>
      </c>
      <c r="Z155" s="6">
        <v>46082</v>
      </c>
      <c r="AA155" s="6">
        <v>46157</v>
      </c>
      <c r="AB155" s="5" t="s">
        <v>478</v>
      </c>
      <c r="AD155" s="5" t="s">
        <v>1201</v>
      </c>
      <c r="AE155" s="5" t="s">
        <v>1510</v>
      </c>
      <c r="AF155" s="11">
        <v>46049</v>
      </c>
      <c r="AG155" s="5" t="s">
        <v>1515</v>
      </c>
      <c r="AH155" s="11">
        <v>46086</v>
      </c>
      <c r="AI155" s="5" t="s">
        <v>1516</v>
      </c>
      <c r="AJ155" s="5" t="s">
        <v>1513</v>
      </c>
      <c r="AM155" s="5" t="s">
        <v>1500</v>
      </c>
    </row>
    <row r="156" spans="1:41" ht="15.75" customHeight="1" x14ac:dyDescent="0.3">
      <c r="A156" s="5">
        <v>149</v>
      </c>
      <c r="B156" s="5" t="s">
        <v>1517</v>
      </c>
      <c r="C156" s="5" t="s">
        <v>1299</v>
      </c>
      <c r="D156" s="5" t="s">
        <v>1197</v>
      </c>
      <c r="F156" s="5" t="s">
        <v>1198</v>
      </c>
      <c r="G156" s="5" t="s">
        <v>1199</v>
      </c>
      <c r="H156" s="5" t="s">
        <v>1509</v>
      </c>
      <c r="Q156" s="5" t="s">
        <v>470</v>
      </c>
      <c r="R156" s="5" t="s">
        <v>684</v>
      </c>
      <c r="S156" s="5">
        <v>70120201</v>
      </c>
      <c r="T156" s="5" t="s">
        <v>686</v>
      </c>
      <c r="U156" s="5">
        <v>38804.379999999997</v>
      </c>
      <c r="V156" s="5">
        <v>31222.07</v>
      </c>
      <c r="W156" s="5" t="s">
        <v>512</v>
      </c>
      <c r="X156" s="6">
        <v>46082</v>
      </c>
      <c r="Y156" s="6">
        <v>46264</v>
      </c>
      <c r="Z156" s="6">
        <v>46082</v>
      </c>
      <c r="AA156" s="10"/>
      <c r="AB156" s="5" t="s">
        <v>478</v>
      </c>
      <c r="AD156" s="5" t="s">
        <v>1201</v>
      </c>
      <c r="AE156" s="5" t="s">
        <v>1518</v>
      </c>
      <c r="AF156" s="5" t="s">
        <v>1519</v>
      </c>
      <c r="AG156" s="5" t="s">
        <v>1520</v>
      </c>
      <c r="AH156" s="5" t="s">
        <v>1521</v>
      </c>
      <c r="AI156" s="5" t="s">
        <v>1522</v>
      </c>
      <c r="AJ156" s="5" t="s">
        <v>1513</v>
      </c>
      <c r="AM156" s="5" t="s">
        <v>1523</v>
      </c>
      <c r="AO156" s="5" t="s">
        <v>1524</v>
      </c>
    </row>
    <row r="157" spans="1:41" ht="15.75" customHeight="1" x14ac:dyDescent="0.3">
      <c r="A157" s="5">
        <v>150</v>
      </c>
      <c r="B157" s="5" t="s">
        <v>1525</v>
      </c>
      <c r="C157" s="5" t="s">
        <v>1299</v>
      </c>
      <c r="D157" s="5" t="s">
        <v>1197</v>
      </c>
      <c r="F157" s="5" t="s">
        <v>1198</v>
      </c>
      <c r="G157" s="5" t="s">
        <v>1199</v>
      </c>
      <c r="H157" s="5" t="s">
        <v>1526</v>
      </c>
      <c r="Q157" s="5" t="s">
        <v>470</v>
      </c>
      <c r="R157" s="5" t="s">
        <v>774</v>
      </c>
      <c r="S157" s="5">
        <v>70110103</v>
      </c>
      <c r="T157" s="5" t="s">
        <v>877</v>
      </c>
      <c r="U157" s="5">
        <v>32269.72</v>
      </c>
      <c r="V157" s="5">
        <v>32269.72</v>
      </c>
      <c r="W157" s="5" t="s">
        <v>512</v>
      </c>
      <c r="X157" s="6">
        <v>46082</v>
      </c>
      <c r="Y157" s="6">
        <v>46264</v>
      </c>
      <c r="Z157" s="6">
        <v>46082</v>
      </c>
      <c r="AA157" s="10"/>
      <c r="AB157" s="5" t="s">
        <v>478</v>
      </c>
      <c r="AD157" s="5" t="s">
        <v>1201</v>
      </c>
      <c r="AE157" s="5" t="s">
        <v>1527</v>
      </c>
      <c r="AF157" s="5" t="s">
        <v>1528</v>
      </c>
      <c r="AG157" s="5" t="s">
        <v>1529</v>
      </c>
      <c r="AH157" s="11">
        <v>46086</v>
      </c>
      <c r="AI157" s="5" t="s">
        <v>1530</v>
      </c>
      <c r="AJ157" s="5" t="s">
        <v>1513</v>
      </c>
      <c r="AM157" s="5" t="s">
        <v>1531</v>
      </c>
      <c r="AO157" s="5" t="s">
        <v>1524</v>
      </c>
    </row>
    <row r="158" spans="1:41" ht="15.75" customHeight="1" x14ac:dyDescent="0.3">
      <c r="A158" s="5">
        <v>151</v>
      </c>
      <c r="B158" s="5" t="s">
        <v>1532</v>
      </c>
      <c r="C158" s="5" t="s">
        <v>1299</v>
      </c>
      <c r="D158" s="5" t="s">
        <v>1197</v>
      </c>
      <c r="F158" s="5" t="s">
        <v>1198</v>
      </c>
      <c r="G158" s="5" t="s">
        <v>1199</v>
      </c>
      <c r="H158" s="5" t="s">
        <v>1533</v>
      </c>
      <c r="Q158" s="5" t="s">
        <v>470</v>
      </c>
      <c r="R158" s="5" t="s">
        <v>774</v>
      </c>
      <c r="S158" s="5">
        <v>70110101</v>
      </c>
      <c r="T158" s="5" t="s">
        <v>775</v>
      </c>
      <c r="U158" s="5">
        <v>25027.759999999998</v>
      </c>
      <c r="V158" s="5">
        <v>25027.759999999998</v>
      </c>
      <c r="W158" s="5" t="s">
        <v>512</v>
      </c>
      <c r="X158" s="6">
        <v>46082</v>
      </c>
      <c r="Y158" s="6">
        <v>46264</v>
      </c>
      <c r="Z158" s="6">
        <v>46082</v>
      </c>
      <c r="AA158" s="10"/>
      <c r="AB158" s="5" t="s">
        <v>478</v>
      </c>
      <c r="AD158" s="5" t="s">
        <v>1201</v>
      </c>
      <c r="AE158" s="5" t="s">
        <v>1534</v>
      </c>
      <c r="AF158" s="5" t="s">
        <v>1535</v>
      </c>
      <c r="AG158" s="5" t="s">
        <v>1536</v>
      </c>
      <c r="AH158" s="11">
        <v>46092</v>
      </c>
      <c r="AI158" s="5" t="s">
        <v>1537</v>
      </c>
      <c r="AJ158" s="5" t="s">
        <v>1513</v>
      </c>
      <c r="AM158" s="5" t="s">
        <v>1538</v>
      </c>
      <c r="AO158" s="5" t="s">
        <v>1524</v>
      </c>
    </row>
    <row r="159" spans="1:41" ht="15.75" customHeight="1" x14ac:dyDescent="0.3">
      <c r="A159" s="5">
        <v>152</v>
      </c>
      <c r="B159" s="5" t="s">
        <v>1539</v>
      </c>
      <c r="C159" s="5" t="s">
        <v>1299</v>
      </c>
      <c r="D159" s="5" t="s">
        <v>1197</v>
      </c>
      <c r="F159" s="5" t="s">
        <v>1198</v>
      </c>
      <c r="G159" s="5" t="s">
        <v>1199</v>
      </c>
      <c r="H159" s="5" t="s">
        <v>1540</v>
      </c>
      <c r="Q159" s="5" t="s">
        <v>470</v>
      </c>
      <c r="R159" s="5" t="s">
        <v>559</v>
      </c>
      <c r="S159" s="5">
        <v>10110205</v>
      </c>
      <c r="T159" s="5" t="s">
        <v>850</v>
      </c>
      <c r="U159" s="5">
        <v>15268.94</v>
      </c>
      <c r="V159" s="5">
        <v>15268.94</v>
      </c>
      <c r="W159" s="5" t="s">
        <v>512</v>
      </c>
      <c r="X159" s="6">
        <v>46082</v>
      </c>
      <c r="Y159" s="6">
        <v>46172</v>
      </c>
      <c r="Z159" s="6">
        <v>46082</v>
      </c>
      <c r="AA159" s="6">
        <v>46157</v>
      </c>
      <c r="AB159" s="5" t="s">
        <v>478</v>
      </c>
      <c r="AC159" s="5" t="s">
        <v>478</v>
      </c>
      <c r="AD159" s="5" t="s">
        <v>1201</v>
      </c>
      <c r="AE159" s="5" t="s">
        <v>1541</v>
      </c>
      <c r="AF159" s="5" t="s">
        <v>1542</v>
      </c>
      <c r="AG159" s="5" t="s">
        <v>1543</v>
      </c>
      <c r="AH159" s="5" t="s">
        <v>1544</v>
      </c>
      <c r="AI159" s="5" t="s">
        <v>1545</v>
      </c>
      <c r="AJ159" s="5" t="s">
        <v>1513</v>
      </c>
    </row>
    <row r="160" spans="1:41" ht="15.75" customHeight="1" x14ac:dyDescent="0.3">
      <c r="A160" s="5">
        <v>153</v>
      </c>
      <c r="B160" s="5" t="s">
        <v>1546</v>
      </c>
      <c r="C160" s="5" t="s">
        <v>1299</v>
      </c>
      <c r="D160" s="5" t="s">
        <v>1197</v>
      </c>
      <c r="F160" s="5" t="s">
        <v>1198</v>
      </c>
      <c r="G160" s="5" t="s">
        <v>1199</v>
      </c>
      <c r="H160" s="5" t="s">
        <v>1547</v>
      </c>
      <c r="Q160" s="5" t="s">
        <v>470</v>
      </c>
      <c r="R160" s="5" t="s">
        <v>559</v>
      </c>
      <c r="S160" s="5">
        <v>10110204</v>
      </c>
      <c r="T160" s="5" t="s">
        <v>561</v>
      </c>
      <c r="U160" s="5">
        <v>15833.54</v>
      </c>
      <c r="V160" s="5">
        <v>15833.54</v>
      </c>
      <c r="W160" s="5" t="s">
        <v>512</v>
      </c>
      <c r="X160" s="6">
        <v>46082</v>
      </c>
      <c r="Y160" s="6">
        <v>46172</v>
      </c>
      <c r="Z160" s="6">
        <v>46082</v>
      </c>
      <c r="AA160" s="6">
        <v>46157</v>
      </c>
      <c r="AB160" s="5" t="s">
        <v>478</v>
      </c>
      <c r="AC160" s="5" t="s">
        <v>531</v>
      </c>
      <c r="AD160" s="5" t="s">
        <v>1201</v>
      </c>
      <c r="AE160" s="5" t="s">
        <v>1548</v>
      </c>
      <c r="AF160" s="11">
        <v>46049</v>
      </c>
      <c r="AG160" s="5" t="s">
        <v>1549</v>
      </c>
      <c r="AH160" s="5" t="s">
        <v>1550</v>
      </c>
      <c r="AI160" s="5" t="s">
        <v>1551</v>
      </c>
      <c r="AJ160" s="5" t="s">
        <v>1552</v>
      </c>
      <c r="AM160" s="5" t="s">
        <v>1553</v>
      </c>
    </row>
    <row r="161" spans="1:39" ht="15.75" customHeight="1" x14ac:dyDescent="0.3">
      <c r="A161" s="5">
        <v>154</v>
      </c>
      <c r="B161" s="5" t="s">
        <v>1554</v>
      </c>
      <c r="C161" s="5" t="s">
        <v>1299</v>
      </c>
      <c r="D161" s="5" t="s">
        <v>1197</v>
      </c>
      <c r="F161" s="5" t="s">
        <v>1198</v>
      </c>
      <c r="G161" s="5" t="s">
        <v>1199</v>
      </c>
      <c r="H161" s="5" t="s">
        <v>1555</v>
      </c>
      <c r="Q161" s="5" t="s">
        <v>470</v>
      </c>
      <c r="R161" s="5" t="s">
        <v>588</v>
      </c>
      <c r="S161" s="5">
        <v>10220108</v>
      </c>
      <c r="T161" s="5" t="s">
        <v>590</v>
      </c>
      <c r="U161" s="5">
        <v>34676.65</v>
      </c>
      <c r="V161" s="5">
        <v>21425.39</v>
      </c>
      <c r="W161" s="5" t="s">
        <v>512</v>
      </c>
      <c r="X161" s="6">
        <v>46113</v>
      </c>
      <c r="Y161" s="6">
        <v>46264</v>
      </c>
      <c r="Z161" s="6">
        <v>46142</v>
      </c>
      <c r="AA161" s="10"/>
      <c r="AB161" s="5" t="s">
        <v>478</v>
      </c>
      <c r="AD161" s="5" t="s">
        <v>1201</v>
      </c>
      <c r="AE161" s="5" t="s">
        <v>1556</v>
      </c>
      <c r="AF161" s="5" t="s">
        <v>1557</v>
      </c>
      <c r="AG161" s="5" t="s">
        <v>1558</v>
      </c>
      <c r="AH161" s="11">
        <v>46135</v>
      </c>
      <c r="AI161" s="5" t="s">
        <v>1559</v>
      </c>
      <c r="AJ161" s="5" t="s">
        <v>1560</v>
      </c>
      <c r="AM161" s="5" t="s">
        <v>1561</v>
      </c>
    </row>
    <row r="162" spans="1:39" ht="15.75" customHeight="1" x14ac:dyDescent="0.3">
      <c r="A162" s="5">
        <v>155</v>
      </c>
      <c r="B162" s="5" t="s">
        <v>1562</v>
      </c>
      <c r="C162" s="5" t="s">
        <v>1299</v>
      </c>
      <c r="D162" s="5" t="s">
        <v>1197</v>
      </c>
      <c r="F162" s="5" t="s">
        <v>1198</v>
      </c>
      <c r="G162" s="5" t="s">
        <v>1199</v>
      </c>
      <c r="H162" s="5" t="s">
        <v>1563</v>
      </c>
      <c r="Q162" s="5" t="s">
        <v>470</v>
      </c>
      <c r="R162" s="5" t="s">
        <v>774</v>
      </c>
      <c r="S162" s="5">
        <v>70110101</v>
      </c>
      <c r="T162" s="5" t="s">
        <v>775</v>
      </c>
      <c r="U162" s="5">
        <v>38736.93</v>
      </c>
      <c r="V162" s="5">
        <v>25485.67</v>
      </c>
      <c r="W162" s="5" t="s">
        <v>512</v>
      </c>
      <c r="X162" s="6">
        <v>46174</v>
      </c>
      <c r="Y162" s="6">
        <v>46310</v>
      </c>
      <c r="Z162" s="6">
        <v>46142</v>
      </c>
      <c r="AA162" s="10"/>
      <c r="AB162" s="5" t="s">
        <v>514</v>
      </c>
      <c r="AD162" s="5" t="s">
        <v>1201</v>
      </c>
      <c r="AE162" s="5" t="s">
        <v>1564</v>
      </c>
      <c r="AF162" s="5" t="s">
        <v>1557</v>
      </c>
      <c r="AG162" s="5" t="s">
        <v>1565</v>
      </c>
      <c r="AH162" s="11">
        <v>46136</v>
      </c>
      <c r="AI162" s="5" t="s">
        <v>1566</v>
      </c>
      <c r="AJ162" s="5" t="s">
        <v>1567</v>
      </c>
      <c r="AM162" s="5" t="s">
        <v>1568</v>
      </c>
    </row>
    <row r="163" spans="1:39" ht="15.75" customHeight="1" x14ac:dyDescent="0.3">
      <c r="A163" s="5">
        <v>156</v>
      </c>
      <c r="B163" s="5" t="s">
        <v>1569</v>
      </c>
      <c r="C163" s="5" t="s">
        <v>1299</v>
      </c>
      <c r="D163" s="5" t="s">
        <v>1197</v>
      </c>
      <c r="F163" s="5" t="s">
        <v>1198</v>
      </c>
      <c r="G163" s="5" t="s">
        <v>1199</v>
      </c>
      <c r="H163" s="5" t="s">
        <v>1570</v>
      </c>
      <c r="Q163" s="5" t="s">
        <v>470</v>
      </c>
      <c r="R163" s="5" t="s">
        <v>559</v>
      </c>
      <c r="S163" s="5">
        <v>10110205</v>
      </c>
      <c r="T163" s="5" t="s">
        <v>850</v>
      </c>
      <c r="U163" s="5">
        <v>69862.31</v>
      </c>
      <c r="V163" s="5">
        <v>34732.777199999997</v>
      </c>
      <c r="W163" s="5" t="s">
        <v>512</v>
      </c>
      <c r="X163" s="6">
        <v>46113</v>
      </c>
      <c r="Y163" s="6">
        <v>46264</v>
      </c>
      <c r="Z163" s="6">
        <v>46142</v>
      </c>
      <c r="AA163" s="10"/>
      <c r="AB163" s="5" t="s">
        <v>478</v>
      </c>
      <c r="AD163" s="5" t="s">
        <v>1201</v>
      </c>
      <c r="AE163" s="5" t="s">
        <v>1571</v>
      </c>
      <c r="AF163" s="5" t="s">
        <v>1557</v>
      </c>
      <c r="AG163" s="5" t="s">
        <v>1572</v>
      </c>
      <c r="AH163" s="11">
        <v>46135</v>
      </c>
      <c r="AI163" s="5" t="s">
        <v>1573</v>
      </c>
      <c r="AJ163" s="5" t="s">
        <v>1567</v>
      </c>
      <c r="AM163" s="5" t="s">
        <v>1574</v>
      </c>
    </row>
    <row r="164" spans="1:39" ht="15.75" customHeight="1" x14ac:dyDescent="0.3">
      <c r="A164" s="5">
        <v>157</v>
      </c>
      <c r="B164" s="5" t="s">
        <v>1575</v>
      </c>
      <c r="C164" s="5" t="s">
        <v>1299</v>
      </c>
      <c r="D164" s="5" t="s">
        <v>1197</v>
      </c>
      <c r="F164" s="5" t="s">
        <v>1198</v>
      </c>
      <c r="G164" s="5" t="s">
        <v>1199</v>
      </c>
      <c r="H164" s="5" t="s">
        <v>1576</v>
      </c>
      <c r="Q164" s="5" t="s">
        <v>470</v>
      </c>
      <c r="R164" s="5" t="s">
        <v>684</v>
      </c>
      <c r="S164" s="5">
        <v>70120201</v>
      </c>
      <c r="T164" s="5" t="s">
        <v>686</v>
      </c>
      <c r="U164" s="5">
        <v>130652.1</v>
      </c>
      <c r="V164" s="5">
        <v>104149.58</v>
      </c>
      <c r="W164" s="5" t="s">
        <v>512</v>
      </c>
      <c r="X164" s="6">
        <v>46174</v>
      </c>
      <c r="Y164" s="6">
        <v>46310</v>
      </c>
      <c r="Z164" s="6">
        <v>46142</v>
      </c>
      <c r="AA164" s="10"/>
      <c r="AB164" s="5" t="s">
        <v>514</v>
      </c>
      <c r="AD164" s="5" t="s">
        <v>1201</v>
      </c>
      <c r="AE164" s="5" t="s">
        <v>1577</v>
      </c>
      <c r="AF164" s="5" t="s">
        <v>1557</v>
      </c>
      <c r="AG164" s="5" t="s">
        <v>1578</v>
      </c>
      <c r="AH164" s="11">
        <v>46135</v>
      </c>
      <c r="AI164" s="5" t="s">
        <v>1579</v>
      </c>
      <c r="AJ164" s="5" t="s">
        <v>1580</v>
      </c>
      <c r="AM164" s="5" t="s">
        <v>1581</v>
      </c>
    </row>
    <row r="165" spans="1:39" ht="15.75" customHeight="1" x14ac:dyDescent="0.3">
      <c r="A165" s="5">
        <v>158</v>
      </c>
      <c r="B165" s="5" t="s">
        <v>1582</v>
      </c>
      <c r="C165" s="5" t="s">
        <v>1299</v>
      </c>
      <c r="D165" s="5" t="s">
        <v>1197</v>
      </c>
      <c r="F165" s="5" t="s">
        <v>1198</v>
      </c>
      <c r="G165" s="5" t="s">
        <v>1199</v>
      </c>
      <c r="H165" s="5" t="s">
        <v>1583</v>
      </c>
      <c r="Q165" s="5" t="s">
        <v>470</v>
      </c>
      <c r="R165" s="5" t="s">
        <v>559</v>
      </c>
      <c r="S165" s="5">
        <v>10110201</v>
      </c>
      <c r="T165" s="5" t="s">
        <v>614</v>
      </c>
      <c r="U165" s="5">
        <v>45523.86</v>
      </c>
      <c r="V165" s="5">
        <v>31999.8</v>
      </c>
      <c r="W165" s="5" t="s">
        <v>512</v>
      </c>
      <c r="X165" s="6">
        <v>46113</v>
      </c>
      <c r="Y165" s="6">
        <v>46264</v>
      </c>
      <c r="Z165" s="6">
        <v>46142</v>
      </c>
      <c r="AA165" s="10"/>
      <c r="AB165" s="5" t="s">
        <v>478</v>
      </c>
      <c r="AD165" s="5" t="s">
        <v>1201</v>
      </c>
      <c r="AE165" s="5" t="s">
        <v>1584</v>
      </c>
      <c r="AF165" s="5" t="s">
        <v>1557</v>
      </c>
      <c r="AG165" s="5" t="s">
        <v>1585</v>
      </c>
      <c r="AH165" s="11">
        <v>46136</v>
      </c>
      <c r="AI165" s="5" t="s">
        <v>1586</v>
      </c>
      <c r="AJ165" s="5" t="s">
        <v>1587</v>
      </c>
      <c r="AM165" s="5" t="s">
        <v>1588</v>
      </c>
    </row>
    <row r="166" spans="1:39" ht="15.75" customHeight="1" x14ac:dyDescent="0.3">
      <c r="A166" s="5">
        <v>159</v>
      </c>
      <c r="B166" s="5" t="s">
        <v>1589</v>
      </c>
      <c r="C166" s="5" t="s">
        <v>1299</v>
      </c>
      <c r="D166" s="5" t="s">
        <v>1197</v>
      </c>
      <c r="F166" s="5" t="s">
        <v>1198</v>
      </c>
      <c r="G166" s="5" t="s">
        <v>1199</v>
      </c>
      <c r="H166" s="5" t="s">
        <v>1590</v>
      </c>
      <c r="Q166" s="5" t="s">
        <v>470</v>
      </c>
      <c r="R166" s="5" t="s">
        <v>527</v>
      </c>
      <c r="S166" s="5">
        <v>10220111</v>
      </c>
      <c r="T166" s="5" t="s">
        <v>528</v>
      </c>
      <c r="U166" s="5">
        <v>2500</v>
      </c>
      <c r="W166" s="5" t="s">
        <v>562</v>
      </c>
      <c r="X166" s="6">
        <v>46235</v>
      </c>
      <c r="Y166" s="6">
        <v>46366</v>
      </c>
      <c r="Z166" s="10"/>
      <c r="AA166" s="10"/>
      <c r="AB166" s="5" t="s">
        <v>531</v>
      </c>
      <c r="AD166" s="5" t="s">
        <v>1201</v>
      </c>
      <c r="AI166" s="5" t="s">
        <v>1591</v>
      </c>
      <c r="AJ166" s="5" t="s">
        <v>1592</v>
      </c>
      <c r="AM166" s="5" t="s">
        <v>1593</v>
      </c>
    </row>
    <row r="167" spans="1:39" ht="15.75" customHeight="1" x14ac:dyDescent="0.3">
      <c r="A167" s="5">
        <v>160</v>
      </c>
      <c r="B167" s="5" t="s">
        <v>1594</v>
      </c>
      <c r="C167" s="5" t="s">
        <v>1299</v>
      </c>
      <c r="D167" s="5" t="s">
        <v>1197</v>
      </c>
      <c r="F167" s="5" t="s">
        <v>1198</v>
      </c>
      <c r="G167" s="5" t="s">
        <v>1199</v>
      </c>
      <c r="H167" s="5" t="s">
        <v>1590</v>
      </c>
      <c r="Q167" s="5" t="s">
        <v>470</v>
      </c>
      <c r="R167" s="5" t="s">
        <v>649</v>
      </c>
      <c r="S167" s="5">
        <v>10220106</v>
      </c>
      <c r="T167" s="5" t="s">
        <v>651</v>
      </c>
      <c r="U167" s="5">
        <v>2500</v>
      </c>
      <c r="W167" s="5" t="s">
        <v>562</v>
      </c>
      <c r="X167" s="6">
        <v>46235</v>
      </c>
      <c r="Y167" s="6">
        <v>46366</v>
      </c>
      <c r="Z167" s="10"/>
      <c r="AA167" s="10"/>
      <c r="AB167" s="5" t="s">
        <v>531</v>
      </c>
      <c r="AD167" s="5" t="s">
        <v>1201</v>
      </c>
      <c r="AI167" s="5" t="s">
        <v>1595</v>
      </c>
      <c r="AJ167" s="5" t="s">
        <v>1596</v>
      </c>
      <c r="AM167" s="5" t="s">
        <v>1593</v>
      </c>
    </row>
    <row r="168" spans="1:39" ht="15.75" customHeight="1" x14ac:dyDescent="0.3">
      <c r="A168" s="5">
        <v>161</v>
      </c>
      <c r="B168" s="5" t="s">
        <v>1597</v>
      </c>
      <c r="C168" s="5" t="s">
        <v>1299</v>
      </c>
      <c r="D168" s="5" t="s">
        <v>1197</v>
      </c>
      <c r="F168" s="5" t="s">
        <v>1198</v>
      </c>
      <c r="G168" s="5" t="s">
        <v>1199</v>
      </c>
      <c r="H168" s="5" t="s">
        <v>1590</v>
      </c>
      <c r="Q168" s="5" t="s">
        <v>470</v>
      </c>
      <c r="R168" s="5" t="s">
        <v>588</v>
      </c>
      <c r="S168" s="5">
        <v>10220108</v>
      </c>
      <c r="T168" s="5" t="s">
        <v>590</v>
      </c>
      <c r="U168" s="5">
        <v>2500</v>
      </c>
      <c r="W168" s="5" t="s">
        <v>562</v>
      </c>
      <c r="X168" s="6">
        <v>46235</v>
      </c>
      <c r="Y168" s="6">
        <v>46366</v>
      </c>
      <c r="Z168" s="10"/>
      <c r="AA168" s="10"/>
      <c r="AB168" s="5" t="s">
        <v>531</v>
      </c>
      <c r="AD168" s="5" t="s">
        <v>1201</v>
      </c>
      <c r="AI168" s="5" t="s">
        <v>1598</v>
      </c>
      <c r="AJ168" s="5" t="s">
        <v>1599</v>
      </c>
      <c r="AM168" s="5" t="s">
        <v>1593</v>
      </c>
    </row>
    <row r="169" spans="1:39" ht="15.75" customHeight="1" x14ac:dyDescent="0.3">
      <c r="A169" s="5">
        <v>162</v>
      </c>
      <c r="B169" s="5" t="s">
        <v>1600</v>
      </c>
      <c r="C169" s="5" t="s">
        <v>1299</v>
      </c>
      <c r="D169" s="5" t="s">
        <v>1197</v>
      </c>
      <c r="F169" s="5" t="s">
        <v>1198</v>
      </c>
      <c r="G169" s="5" t="s">
        <v>1199</v>
      </c>
      <c r="H169" s="5" t="s">
        <v>1590</v>
      </c>
      <c r="Q169" s="5" t="s">
        <v>470</v>
      </c>
      <c r="R169" s="5" t="s">
        <v>471</v>
      </c>
      <c r="S169" s="5">
        <v>10220110</v>
      </c>
      <c r="T169" s="5" t="s">
        <v>472</v>
      </c>
      <c r="U169" s="5">
        <v>2500</v>
      </c>
      <c r="W169" s="5" t="s">
        <v>562</v>
      </c>
      <c r="X169" s="6">
        <v>46235</v>
      </c>
      <c r="Y169" s="6">
        <v>46366</v>
      </c>
      <c r="Z169" s="10"/>
      <c r="AA169" s="10"/>
      <c r="AB169" s="5" t="s">
        <v>531</v>
      </c>
      <c r="AD169" s="5" t="s">
        <v>1201</v>
      </c>
      <c r="AI169" s="5" t="s">
        <v>1601</v>
      </c>
      <c r="AJ169" s="5" t="s">
        <v>1602</v>
      </c>
      <c r="AM169" s="5" t="s">
        <v>1593</v>
      </c>
    </row>
    <row r="170" spans="1:39" ht="15.75" customHeight="1" x14ac:dyDescent="0.3">
      <c r="A170" s="5">
        <v>163</v>
      </c>
      <c r="B170" s="5" t="s">
        <v>1603</v>
      </c>
      <c r="C170" s="5" t="s">
        <v>1299</v>
      </c>
      <c r="D170" s="5" t="s">
        <v>1197</v>
      </c>
      <c r="F170" s="5" t="s">
        <v>1198</v>
      </c>
      <c r="G170" s="5" t="s">
        <v>1199</v>
      </c>
      <c r="H170" s="5" t="s">
        <v>1590</v>
      </c>
      <c r="Q170" s="5" t="s">
        <v>470</v>
      </c>
      <c r="R170" s="5" t="s">
        <v>664</v>
      </c>
      <c r="S170" s="5">
        <v>70160101</v>
      </c>
      <c r="T170" s="5" t="s">
        <v>665</v>
      </c>
      <c r="U170" s="5">
        <v>2500</v>
      </c>
      <c r="W170" s="5" t="s">
        <v>562</v>
      </c>
      <c r="X170" s="6">
        <v>46235</v>
      </c>
      <c r="Y170" s="6">
        <v>46366</v>
      </c>
      <c r="Z170" s="10"/>
      <c r="AA170" s="10"/>
      <c r="AB170" s="5" t="s">
        <v>531</v>
      </c>
      <c r="AD170" s="5" t="s">
        <v>1201</v>
      </c>
      <c r="AI170" s="5" t="s">
        <v>1604</v>
      </c>
      <c r="AJ170" s="5" t="s">
        <v>1605</v>
      </c>
      <c r="AM170" s="5" t="s">
        <v>1593</v>
      </c>
    </row>
    <row r="171" spans="1:39" ht="15.75" customHeight="1" x14ac:dyDescent="0.3">
      <c r="A171" s="5">
        <v>164</v>
      </c>
      <c r="B171" s="5" t="s">
        <v>1606</v>
      </c>
      <c r="C171" s="5" t="s">
        <v>1299</v>
      </c>
      <c r="D171" s="5" t="s">
        <v>1197</v>
      </c>
      <c r="F171" s="5" t="s">
        <v>1198</v>
      </c>
      <c r="G171" s="5" t="s">
        <v>1199</v>
      </c>
      <c r="H171" s="5" t="s">
        <v>1590</v>
      </c>
      <c r="Q171" s="5" t="s">
        <v>470</v>
      </c>
      <c r="R171" s="5" t="s">
        <v>726</v>
      </c>
      <c r="S171" s="5">
        <v>70190101</v>
      </c>
      <c r="T171" s="5" t="s">
        <v>727</v>
      </c>
      <c r="U171" s="5">
        <v>2500</v>
      </c>
      <c r="W171" s="5" t="s">
        <v>562</v>
      </c>
      <c r="X171" s="6">
        <v>46235</v>
      </c>
      <c r="Y171" s="6">
        <v>46366</v>
      </c>
      <c r="Z171" s="10"/>
      <c r="AA171" s="10"/>
      <c r="AB171" s="5" t="s">
        <v>531</v>
      </c>
      <c r="AD171" s="5" t="s">
        <v>1201</v>
      </c>
      <c r="AI171" s="5" t="s">
        <v>1607</v>
      </c>
      <c r="AJ171" s="5" t="s">
        <v>1608</v>
      </c>
      <c r="AM171" s="5" t="s">
        <v>1593</v>
      </c>
    </row>
    <row r="172" spans="1:39" ht="15.75" customHeight="1" x14ac:dyDescent="0.3">
      <c r="A172" s="5">
        <v>165</v>
      </c>
      <c r="B172" s="5" t="s">
        <v>1609</v>
      </c>
      <c r="C172" s="5" t="s">
        <v>1299</v>
      </c>
      <c r="D172" s="5" t="s">
        <v>1197</v>
      </c>
      <c r="F172" s="5" t="s">
        <v>1198</v>
      </c>
      <c r="G172" s="5" t="s">
        <v>1199</v>
      </c>
      <c r="H172" s="5" t="s">
        <v>1590</v>
      </c>
      <c r="Q172" s="5" t="s">
        <v>470</v>
      </c>
      <c r="R172" s="5" t="s">
        <v>684</v>
      </c>
      <c r="S172" s="5">
        <v>70120201</v>
      </c>
      <c r="T172" s="5" t="s">
        <v>686</v>
      </c>
      <c r="U172" s="5">
        <v>2500</v>
      </c>
      <c r="W172" s="5" t="s">
        <v>562</v>
      </c>
      <c r="X172" s="6">
        <v>46235</v>
      </c>
      <c r="Y172" s="6">
        <v>46366</v>
      </c>
      <c r="Z172" s="10"/>
      <c r="AA172" s="10"/>
      <c r="AB172" s="5" t="s">
        <v>531</v>
      </c>
      <c r="AD172" s="5" t="s">
        <v>1201</v>
      </c>
      <c r="AI172" s="5" t="s">
        <v>1610</v>
      </c>
      <c r="AJ172" s="5" t="s">
        <v>1611</v>
      </c>
      <c r="AM172" s="5" t="s">
        <v>1593</v>
      </c>
    </row>
    <row r="173" spans="1:39" ht="15.75" customHeight="1" x14ac:dyDescent="0.3">
      <c r="A173" s="5">
        <v>166</v>
      </c>
      <c r="B173" s="5" t="s">
        <v>1612</v>
      </c>
      <c r="C173" s="5" t="s">
        <v>1299</v>
      </c>
      <c r="D173" s="5" t="s">
        <v>1197</v>
      </c>
      <c r="F173" s="5" t="s">
        <v>1198</v>
      </c>
      <c r="G173" s="5" t="s">
        <v>1199</v>
      </c>
      <c r="H173" s="5" t="s">
        <v>1590</v>
      </c>
      <c r="Q173" s="5" t="s">
        <v>470</v>
      </c>
      <c r="R173" s="5" t="s">
        <v>493</v>
      </c>
      <c r="S173" s="5">
        <v>70170101</v>
      </c>
      <c r="T173" s="5" t="s">
        <v>494</v>
      </c>
      <c r="U173" s="5">
        <v>2500</v>
      </c>
      <c r="W173" s="5" t="s">
        <v>562</v>
      </c>
      <c r="X173" s="6">
        <v>46235</v>
      </c>
      <c r="Y173" s="6">
        <v>46366</v>
      </c>
      <c r="Z173" s="10"/>
      <c r="AA173" s="10"/>
      <c r="AB173" s="5" t="s">
        <v>531</v>
      </c>
      <c r="AD173" s="5" t="s">
        <v>1201</v>
      </c>
      <c r="AI173" s="5" t="s">
        <v>1613</v>
      </c>
      <c r="AJ173" s="5" t="s">
        <v>1614</v>
      </c>
      <c r="AM173" s="5" t="s">
        <v>1593</v>
      </c>
    </row>
    <row r="174" spans="1:39" ht="15.75" customHeight="1" x14ac:dyDescent="0.3">
      <c r="A174" s="5">
        <v>167</v>
      </c>
      <c r="B174" s="5" t="s">
        <v>1615</v>
      </c>
      <c r="C174" s="5" t="s">
        <v>1299</v>
      </c>
      <c r="D174" s="5" t="s">
        <v>1197</v>
      </c>
      <c r="F174" s="5" t="s">
        <v>1198</v>
      </c>
      <c r="G174" s="5" t="s">
        <v>1199</v>
      </c>
      <c r="H174" s="5" t="s">
        <v>1590</v>
      </c>
      <c r="Q174" s="5" t="s">
        <v>470</v>
      </c>
      <c r="R174" s="5" t="s">
        <v>510</v>
      </c>
      <c r="S174" s="5">
        <v>70180103</v>
      </c>
      <c r="T174" s="5" t="s">
        <v>511</v>
      </c>
      <c r="U174" s="5">
        <v>2500</v>
      </c>
      <c r="W174" s="5" t="s">
        <v>562</v>
      </c>
      <c r="X174" s="6">
        <v>46235</v>
      </c>
      <c r="Y174" s="6">
        <v>46366</v>
      </c>
      <c r="Z174" s="10"/>
      <c r="AA174" s="10"/>
      <c r="AB174" s="5" t="s">
        <v>531</v>
      </c>
      <c r="AD174" s="5" t="s">
        <v>1201</v>
      </c>
      <c r="AI174" s="5" t="s">
        <v>1616</v>
      </c>
      <c r="AJ174" s="5" t="s">
        <v>1617</v>
      </c>
      <c r="AM174" s="5" t="s">
        <v>1593</v>
      </c>
    </row>
    <row r="175" spans="1:39" ht="15.75" customHeight="1" x14ac:dyDescent="0.3">
      <c r="A175" s="5">
        <v>168</v>
      </c>
      <c r="B175" s="5" t="s">
        <v>1618</v>
      </c>
      <c r="C175" s="5" t="s">
        <v>1299</v>
      </c>
      <c r="D175" s="5" t="s">
        <v>1197</v>
      </c>
      <c r="F175" s="5" t="s">
        <v>1198</v>
      </c>
      <c r="G175" s="5" t="s">
        <v>1199</v>
      </c>
      <c r="H175" s="5" t="s">
        <v>1590</v>
      </c>
      <c r="Q175" s="5" t="s">
        <v>470</v>
      </c>
      <c r="R175" s="5" t="s">
        <v>538</v>
      </c>
      <c r="S175" s="5">
        <v>70150101</v>
      </c>
      <c r="T175" s="5" t="s">
        <v>540</v>
      </c>
      <c r="U175" s="5">
        <v>2500</v>
      </c>
      <c r="W175" s="5" t="s">
        <v>562</v>
      </c>
      <c r="X175" s="6">
        <v>46235</v>
      </c>
      <c r="Y175" s="6">
        <v>46366</v>
      </c>
      <c r="Z175" s="10"/>
      <c r="AA175" s="10"/>
      <c r="AB175" s="5" t="s">
        <v>531</v>
      </c>
      <c r="AD175" s="5" t="s">
        <v>1201</v>
      </c>
      <c r="AI175" s="5" t="s">
        <v>1619</v>
      </c>
      <c r="AJ175" s="5" t="s">
        <v>1620</v>
      </c>
      <c r="AM175" s="5" t="s">
        <v>1593</v>
      </c>
    </row>
    <row r="176" spans="1:39" ht="15.75" customHeight="1" x14ac:dyDescent="0.3">
      <c r="A176" s="5">
        <v>169</v>
      </c>
      <c r="B176" s="5" t="s">
        <v>1621</v>
      </c>
      <c r="C176" s="5" t="s">
        <v>1299</v>
      </c>
      <c r="D176" s="5" t="s">
        <v>1197</v>
      </c>
      <c r="F176" s="5" t="s">
        <v>1198</v>
      </c>
      <c r="G176" s="5" t="s">
        <v>1199</v>
      </c>
      <c r="H176" s="5" t="s">
        <v>1590</v>
      </c>
      <c r="Q176" s="5" t="s">
        <v>470</v>
      </c>
      <c r="R176" s="5" t="s">
        <v>804</v>
      </c>
      <c r="S176" s="5">
        <v>70230101</v>
      </c>
      <c r="T176" s="5" t="s">
        <v>1412</v>
      </c>
      <c r="U176" s="5">
        <v>2500</v>
      </c>
      <c r="W176" s="5" t="s">
        <v>562</v>
      </c>
      <c r="X176" s="6">
        <v>46235</v>
      </c>
      <c r="Y176" s="6">
        <v>46366</v>
      </c>
      <c r="Z176" s="10"/>
      <c r="AA176" s="10"/>
      <c r="AB176" s="5" t="s">
        <v>531</v>
      </c>
      <c r="AD176" s="5" t="s">
        <v>1201</v>
      </c>
      <c r="AI176" s="5" t="s">
        <v>1622</v>
      </c>
      <c r="AJ176" s="5" t="s">
        <v>1623</v>
      </c>
      <c r="AM176" s="5" t="s">
        <v>1593</v>
      </c>
    </row>
    <row r="177" spans="1:39" ht="15.75" customHeight="1" x14ac:dyDescent="0.3">
      <c r="A177" s="5">
        <v>170</v>
      </c>
      <c r="B177" s="5" t="s">
        <v>1624</v>
      </c>
      <c r="C177" s="5" t="s">
        <v>1299</v>
      </c>
      <c r="D177" s="5" t="s">
        <v>1197</v>
      </c>
      <c r="F177" s="5" t="s">
        <v>1198</v>
      </c>
      <c r="G177" s="5" t="s">
        <v>1199</v>
      </c>
      <c r="H177" s="5" t="s">
        <v>1590</v>
      </c>
      <c r="Q177" s="5" t="s">
        <v>470</v>
      </c>
      <c r="R177" s="5" t="s">
        <v>806</v>
      </c>
      <c r="S177" s="5">
        <v>70220101</v>
      </c>
      <c r="T177" s="5" t="s">
        <v>1418</v>
      </c>
      <c r="U177" s="5">
        <v>2500</v>
      </c>
      <c r="W177" s="5" t="s">
        <v>562</v>
      </c>
      <c r="X177" s="6">
        <v>46235</v>
      </c>
      <c r="Y177" s="6">
        <v>46366</v>
      </c>
      <c r="Z177" s="10"/>
      <c r="AA177" s="10"/>
      <c r="AB177" s="5" t="s">
        <v>531</v>
      </c>
      <c r="AD177" s="5" t="s">
        <v>1201</v>
      </c>
      <c r="AI177" s="5" t="s">
        <v>1625</v>
      </c>
      <c r="AJ177" s="5" t="s">
        <v>1626</v>
      </c>
      <c r="AM177" s="5" t="s">
        <v>1593</v>
      </c>
    </row>
    <row r="178" spans="1:39" ht="15.75" customHeight="1" x14ac:dyDescent="0.3">
      <c r="A178" s="5">
        <v>171</v>
      </c>
      <c r="B178" s="5" t="s">
        <v>1627</v>
      </c>
      <c r="C178" s="5" t="s">
        <v>1299</v>
      </c>
      <c r="D178" s="5" t="s">
        <v>1197</v>
      </c>
      <c r="F178" s="5" t="s">
        <v>1198</v>
      </c>
      <c r="G178" s="5" t="s">
        <v>1199</v>
      </c>
      <c r="H178" s="5" t="s">
        <v>1590</v>
      </c>
      <c r="Q178" s="5" t="s">
        <v>470</v>
      </c>
      <c r="R178" s="5" t="s">
        <v>810</v>
      </c>
      <c r="S178" s="5">
        <v>70200101</v>
      </c>
      <c r="T178" s="5" t="s">
        <v>1424</v>
      </c>
      <c r="U178" s="5">
        <v>2500</v>
      </c>
      <c r="W178" s="5" t="s">
        <v>562</v>
      </c>
      <c r="X178" s="6">
        <v>46235</v>
      </c>
      <c r="Y178" s="6">
        <v>46366</v>
      </c>
      <c r="Z178" s="10"/>
      <c r="AA178" s="10"/>
      <c r="AB178" s="5" t="s">
        <v>531</v>
      </c>
      <c r="AD178" s="5" t="s">
        <v>1201</v>
      </c>
      <c r="AI178" s="5" t="s">
        <v>1628</v>
      </c>
      <c r="AJ178" s="5" t="s">
        <v>1629</v>
      </c>
      <c r="AM178" s="5" t="s">
        <v>1593</v>
      </c>
    </row>
    <row r="179" spans="1:39" ht="15.75" customHeight="1" x14ac:dyDescent="0.3">
      <c r="A179" s="5">
        <v>172</v>
      </c>
      <c r="B179" s="5" t="s">
        <v>1630</v>
      </c>
      <c r="C179" s="5" t="s">
        <v>1299</v>
      </c>
      <c r="D179" s="5" t="s">
        <v>1197</v>
      </c>
      <c r="F179" s="5" t="s">
        <v>1198</v>
      </c>
      <c r="G179" s="5" t="s">
        <v>1199</v>
      </c>
      <c r="H179" s="5" t="s">
        <v>1631</v>
      </c>
      <c r="Q179" s="5" t="s">
        <v>470</v>
      </c>
      <c r="R179" s="5" t="s">
        <v>774</v>
      </c>
      <c r="S179" s="5">
        <v>70110101</v>
      </c>
      <c r="T179" s="5" t="s">
        <v>775</v>
      </c>
      <c r="U179" s="5">
        <v>2500</v>
      </c>
      <c r="W179" s="5" t="s">
        <v>562</v>
      </c>
      <c r="X179" s="6">
        <v>46235</v>
      </c>
      <c r="Y179" s="6">
        <v>46366</v>
      </c>
      <c r="Z179" s="10"/>
      <c r="AA179" s="10"/>
      <c r="AB179" s="5" t="s">
        <v>531</v>
      </c>
      <c r="AD179" s="5" t="s">
        <v>1201</v>
      </c>
      <c r="AI179" s="5" t="s">
        <v>1632</v>
      </c>
      <c r="AJ179" s="5" t="s">
        <v>1633</v>
      </c>
      <c r="AM179" s="5" t="s">
        <v>1593</v>
      </c>
    </row>
    <row r="180" spans="1:39" ht="15.75" customHeight="1" x14ac:dyDescent="0.3">
      <c r="A180" s="5">
        <v>173</v>
      </c>
      <c r="B180" s="5" t="s">
        <v>1634</v>
      </c>
      <c r="C180" s="5" t="s">
        <v>1299</v>
      </c>
      <c r="D180" s="5" t="s">
        <v>1197</v>
      </c>
      <c r="F180" s="5" t="s">
        <v>1198</v>
      </c>
      <c r="G180" s="5" t="s">
        <v>1199</v>
      </c>
      <c r="H180" s="5" t="s">
        <v>1635</v>
      </c>
      <c r="Q180" s="5" t="s">
        <v>470</v>
      </c>
      <c r="R180" s="5" t="s">
        <v>559</v>
      </c>
      <c r="S180" s="5">
        <v>10110205</v>
      </c>
      <c r="T180" s="5" t="s">
        <v>850</v>
      </c>
      <c r="U180" s="5">
        <v>16567.2</v>
      </c>
      <c r="W180" s="5" t="s">
        <v>562</v>
      </c>
      <c r="X180" s="6">
        <v>46235</v>
      </c>
      <c r="Y180" s="6">
        <v>46366</v>
      </c>
      <c r="Z180" s="10"/>
      <c r="AA180" s="10"/>
      <c r="AB180" s="5" t="s">
        <v>531</v>
      </c>
      <c r="AD180" s="5" t="s">
        <v>1201</v>
      </c>
      <c r="AI180" s="5" t="s">
        <v>1636</v>
      </c>
      <c r="AJ180" s="5" t="s">
        <v>1637</v>
      </c>
      <c r="AM180" s="5" t="s">
        <v>1593</v>
      </c>
    </row>
    <row r="181" spans="1:39" ht="15.75" customHeight="1" x14ac:dyDescent="0.3">
      <c r="A181" s="5">
        <v>174</v>
      </c>
      <c r="B181" s="5" t="s">
        <v>1638</v>
      </c>
      <c r="C181" s="5" t="s">
        <v>1299</v>
      </c>
      <c r="D181" s="5" t="s">
        <v>1197</v>
      </c>
      <c r="F181" s="5" t="s">
        <v>1639</v>
      </c>
      <c r="G181" s="5" t="s">
        <v>1199</v>
      </c>
      <c r="H181" s="5" t="s">
        <v>1640</v>
      </c>
      <c r="Q181" s="5" t="s">
        <v>470</v>
      </c>
      <c r="R181" s="5" t="s">
        <v>774</v>
      </c>
      <c r="S181" s="5">
        <v>70110103</v>
      </c>
      <c r="T181" s="5" t="s">
        <v>877</v>
      </c>
      <c r="U181" s="5">
        <v>2500</v>
      </c>
      <c r="W181" s="5" t="s">
        <v>562</v>
      </c>
      <c r="X181" s="6">
        <v>46235</v>
      </c>
      <c r="Y181" s="6">
        <v>46366</v>
      </c>
      <c r="Z181" s="10"/>
      <c r="AA181" s="10"/>
      <c r="AB181" s="5" t="s">
        <v>531</v>
      </c>
      <c r="AD181" s="5" t="s">
        <v>1201</v>
      </c>
      <c r="AI181" s="5" t="s">
        <v>1641</v>
      </c>
      <c r="AJ181" s="5" t="s">
        <v>1642</v>
      </c>
      <c r="AM181" s="5" t="s">
        <v>1593</v>
      </c>
    </row>
    <row r="182" spans="1:39" ht="15.75" customHeight="1" x14ac:dyDescent="0.3">
      <c r="A182" s="5">
        <v>175</v>
      </c>
      <c r="B182" s="5" t="s">
        <v>1643</v>
      </c>
      <c r="C182" s="5" t="s">
        <v>1299</v>
      </c>
      <c r="D182" s="5" t="s">
        <v>1197</v>
      </c>
      <c r="F182" s="5" t="s">
        <v>1198</v>
      </c>
      <c r="G182" s="5" t="s">
        <v>1199</v>
      </c>
      <c r="H182" s="5" t="s">
        <v>1644</v>
      </c>
      <c r="Q182" s="5" t="s">
        <v>470</v>
      </c>
      <c r="R182" s="5" t="s">
        <v>774</v>
      </c>
      <c r="S182" s="5">
        <v>70110107</v>
      </c>
      <c r="T182" s="5" t="s">
        <v>896</v>
      </c>
      <c r="U182" s="5">
        <v>2500</v>
      </c>
      <c r="W182" s="5" t="s">
        <v>562</v>
      </c>
      <c r="X182" s="6">
        <v>46235</v>
      </c>
      <c r="Y182" s="6">
        <v>46366</v>
      </c>
      <c r="Z182" s="10"/>
      <c r="AA182" s="10"/>
      <c r="AB182" s="5" t="s">
        <v>531</v>
      </c>
      <c r="AD182" s="5" t="s">
        <v>1201</v>
      </c>
      <c r="AI182" s="5" t="s">
        <v>1645</v>
      </c>
      <c r="AJ182" s="5" t="s">
        <v>1646</v>
      </c>
      <c r="AM182" s="5" t="s">
        <v>1593</v>
      </c>
    </row>
    <row r="183" spans="1:39" ht="15.75" customHeight="1" x14ac:dyDescent="0.3">
      <c r="A183" s="5">
        <v>176</v>
      </c>
      <c r="B183" s="5" t="s">
        <v>1647</v>
      </c>
      <c r="C183" s="5" t="s">
        <v>1299</v>
      </c>
      <c r="D183" s="5" t="s">
        <v>1197</v>
      </c>
      <c r="F183" s="5" t="s">
        <v>1198</v>
      </c>
      <c r="G183" s="5" t="s">
        <v>1199</v>
      </c>
      <c r="H183" s="5" t="s">
        <v>1648</v>
      </c>
      <c r="Q183" s="5" t="s">
        <v>470</v>
      </c>
      <c r="R183" s="5" t="s">
        <v>559</v>
      </c>
      <c r="S183" s="5">
        <v>10110201</v>
      </c>
      <c r="T183" s="5" t="s">
        <v>614</v>
      </c>
      <c r="U183" s="5">
        <v>2500</v>
      </c>
      <c r="W183" s="5" t="s">
        <v>562</v>
      </c>
      <c r="X183" s="6">
        <v>46235</v>
      </c>
      <c r="Y183" s="6">
        <v>46366</v>
      </c>
      <c r="Z183" s="10"/>
      <c r="AA183" s="10"/>
      <c r="AB183" s="5" t="s">
        <v>531</v>
      </c>
      <c r="AD183" s="5" t="s">
        <v>1201</v>
      </c>
      <c r="AI183" s="5" t="s">
        <v>1649</v>
      </c>
      <c r="AJ183" s="5" t="s">
        <v>1637</v>
      </c>
      <c r="AM183" s="5" t="s">
        <v>1593</v>
      </c>
    </row>
    <row r="184" spans="1:39" ht="15.75" customHeight="1" x14ac:dyDescent="0.3">
      <c r="A184" s="5">
        <v>177</v>
      </c>
      <c r="B184" s="5" t="s">
        <v>1650</v>
      </c>
      <c r="C184" s="5" t="s">
        <v>1299</v>
      </c>
      <c r="D184" s="5" t="s">
        <v>1197</v>
      </c>
      <c r="F184" s="5" t="s">
        <v>1198</v>
      </c>
      <c r="G184" s="5" t="s">
        <v>1199</v>
      </c>
      <c r="H184" s="5" t="s">
        <v>1651</v>
      </c>
      <c r="Q184" s="5" t="s">
        <v>470</v>
      </c>
      <c r="R184" s="5" t="s">
        <v>559</v>
      </c>
      <c r="S184" s="5">
        <v>10110204</v>
      </c>
      <c r="T184" s="5" t="s">
        <v>561</v>
      </c>
      <c r="U184" s="5">
        <v>2500</v>
      </c>
      <c r="W184" s="5" t="s">
        <v>562</v>
      </c>
      <c r="X184" s="6">
        <v>46235</v>
      </c>
      <c r="Y184" s="6">
        <v>46366</v>
      </c>
      <c r="Z184" s="10"/>
      <c r="AA184" s="10"/>
      <c r="AB184" s="5" t="s">
        <v>531</v>
      </c>
      <c r="AD184" s="5" t="s">
        <v>1201</v>
      </c>
      <c r="AI184" s="5" t="s">
        <v>1652</v>
      </c>
      <c r="AJ184" s="5" t="s">
        <v>1653</v>
      </c>
      <c r="AM184" s="5" t="s">
        <v>1593</v>
      </c>
    </row>
    <row r="185" spans="1:39" ht="15.75" customHeight="1" x14ac:dyDescent="0.3">
      <c r="A185" s="5">
        <v>178</v>
      </c>
      <c r="B185" s="5" t="s">
        <v>1654</v>
      </c>
      <c r="C185" s="5" t="s">
        <v>1299</v>
      </c>
      <c r="D185" s="5" t="s">
        <v>485</v>
      </c>
      <c r="F185" s="5" t="s">
        <v>486</v>
      </c>
      <c r="G185" s="5" t="s">
        <v>487</v>
      </c>
      <c r="H185" s="5" t="s">
        <v>1655</v>
      </c>
      <c r="Q185" s="5" t="s">
        <v>470</v>
      </c>
      <c r="R185" s="5" t="s">
        <v>664</v>
      </c>
      <c r="S185" s="5">
        <v>70160101</v>
      </c>
      <c r="T185" s="5" t="s">
        <v>665</v>
      </c>
      <c r="U185" s="5">
        <v>45000</v>
      </c>
      <c r="V185" s="5">
        <v>35046</v>
      </c>
      <c r="W185" s="5" t="s">
        <v>512</v>
      </c>
      <c r="X185" s="6">
        <v>46113</v>
      </c>
      <c r="Y185" s="6">
        <v>46203</v>
      </c>
      <c r="Z185" s="6">
        <v>46113</v>
      </c>
      <c r="AA185" s="6">
        <v>46170</v>
      </c>
      <c r="AB185" s="5" t="s">
        <v>478</v>
      </c>
      <c r="AC185" s="5" t="s">
        <v>478</v>
      </c>
      <c r="AD185" s="5" t="s">
        <v>496</v>
      </c>
      <c r="AE185" s="5" t="s">
        <v>1656</v>
      </c>
      <c r="AF185" s="11">
        <v>46063</v>
      </c>
      <c r="AG185" s="5" t="s">
        <v>1657</v>
      </c>
      <c r="AH185" s="11">
        <v>46132</v>
      </c>
      <c r="AI185" s="5" t="s">
        <v>1658</v>
      </c>
      <c r="AJ185" s="5" t="s">
        <v>1659</v>
      </c>
    </row>
    <row r="186" spans="1:39" ht="15.75" customHeight="1" x14ac:dyDescent="0.3">
      <c r="A186" s="5">
        <v>179</v>
      </c>
      <c r="B186" s="5" t="s">
        <v>1660</v>
      </c>
      <c r="C186" s="5" t="s">
        <v>1299</v>
      </c>
      <c r="D186" s="5" t="s">
        <v>1661</v>
      </c>
      <c r="F186" s="5" t="s">
        <v>1662</v>
      </c>
      <c r="G186" s="5" t="s">
        <v>1663</v>
      </c>
      <c r="H186" s="5" t="s">
        <v>1664</v>
      </c>
      <c r="Q186" s="5" t="s">
        <v>470</v>
      </c>
      <c r="R186" s="5" t="s">
        <v>803</v>
      </c>
      <c r="S186" s="5">
        <v>10110101</v>
      </c>
      <c r="T186" s="5" t="s">
        <v>1209</v>
      </c>
      <c r="U186" s="5">
        <v>10000</v>
      </c>
      <c r="W186" s="5" t="s">
        <v>474</v>
      </c>
      <c r="X186" s="6">
        <v>46174</v>
      </c>
      <c r="Y186" s="6">
        <v>46310</v>
      </c>
      <c r="Z186" s="10"/>
      <c r="AA186" s="10"/>
      <c r="AB186" s="5" t="s">
        <v>514</v>
      </c>
      <c r="AD186" s="5" t="s">
        <v>1665</v>
      </c>
      <c r="AE186" s="5" t="s">
        <v>1666</v>
      </c>
      <c r="AF186" s="11">
        <v>46140</v>
      </c>
      <c r="AG186" s="5" t="s">
        <v>689</v>
      </c>
      <c r="AI186" s="5" t="s">
        <v>1667</v>
      </c>
      <c r="AJ186" s="5" t="s">
        <v>1668</v>
      </c>
      <c r="AM186" s="5" t="s">
        <v>1669</v>
      </c>
    </row>
    <row r="187" spans="1:39" ht="15.75" customHeight="1" x14ac:dyDescent="0.3">
      <c r="A187" s="5">
        <v>180</v>
      </c>
      <c r="B187" s="5" t="s">
        <v>1670</v>
      </c>
      <c r="C187" s="5" t="s">
        <v>1299</v>
      </c>
      <c r="D187" s="5" t="s">
        <v>582</v>
      </c>
      <c r="F187" s="5" t="s">
        <v>583</v>
      </c>
      <c r="G187" s="5" t="s">
        <v>584</v>
      </c>
      <c r="H187" s="5" t="s">
        <v>1671</v>
      </c>
      <c r="Q187" s="5" t="s">
        <v>470</v>
      </c>
      <c r="R187" s="5" t="s">
        <v>527</v>
      </c>
      <c r="S187" s="5">
        <v>10220111</v>
      </c>
      <c r="T187" s="5" t="s">
        <v>528</v>
      </c>
      <c r="U187" s="5">
        <v>7272.73</v>
      </c>
      <c r="W187" s="5" t="s">
        <v>562</v>
      </c>
      <c r="X187" s="6">
        <v>46174</v>
      </c>
      <c r="Y187" s="6">
        <v>46310</v>
      </c>
      <c r="Z187" s="10"/>
      <c r="AA187" s="10"/>
      <c r="AB187" s="5" t="s">
        <v>514</v>
      </c>
      <c r="AD187" s="5" t="s">
        <v>496</v>
      </c>
      <c r="AE187" s="5" t="s">
        <v>1672</v>
      </c>
      <c r="AF187" s="11">
        <v>46185</v>
      </c>
      <c r="AI187" s="5" t="s">
        <v>1673</v>
      </c>
      <c r="AJ187" s="5" t="s">
        <v>1674</v>
      </c>
    </row>
    <row r="188" spans="1:39" ht="15.75" customHeight="1" x14ac:dyDescent="0.3">
      <c r="A188" s="5">
        <v>181</v>
      </c>
      <c r="B188" s="5" t="s">
        <v>1675</v>
      </c>
      <c r="C188" s="5" t="s">
        <v>1299</v>
      </c>
      <c r="D188" s="5" t="s">
        <v>582</v>
      </c>
      <c r="F188" s="5" t="s">
        <v>583</v>
      </c>
      <c r="G188" s="5" t="s">
        <v>584</v>
      </c>
      <c r="H188" s="5" t="s">
        <v>1671</v>
      </c>
      <c r="Q188" s="5" t="s">
        <v>470</v>
      </c>
      <c r="R188" s="5" t="s">
        <v>649</v>
      </c>
      <c r="S188" s="5">
        <v>10220106</v>
      </c>
      <c r="T188" s="5" t="s">
        <v>651</v>
      </c>
      <c r="U188" s="5">
        <v>7272.73</v>
      </c>
      <c r="W188" s="5" t="s">
        <v>562</v>
      </c>
      <c r="X188" s="6">
        <v>46174</v>
      </c>
      <c r="Y188" s="6">
        <v>46310</v>
      </c>
      <c r="Z188" s="10"/>
      <c r="AA188" s="10"/>
      <c r="AB188" s="5" t="s">
        <v>514</v>
      </c>
      <c r="AD188" s="5" t="s">
        <v>496</v>
      </c>
      <c r="AE188" s="5" t="s">
        <v>1676</v>
      </c>
      <c r="AF188" s="11">
        <v>46185</v>
      </c>
      <c r="AI188" s="5" t="s">
        <v>1677</v>
      </c>
      <c r="AJ188" s="5" t="s">
        <v>1674</v>
      </c>
    </row>
    <row r="189" spans="1:39" ht="15.75" customHeight="1" x14ac:dyDescent="0.3">
      <c r="A189" s="5">
        <v>182</v>
      </c>
      <c r="B189" s="5" t="s">
        <v>1678</v>
      </c>
      <c r="C189" s="5" t="s">
        <v>1299</v>
      </c>
      <c r="D189" s="5" t="s">
        <v>582</v>
      </c>
      <c r="F189" s="5" t="s">
        <v>583</v>
      </c>
      <c r="G189" s="5" t="s">
        <v>584</v>
      </c>
      <c r="H189" s="5" t="s">
        <v>1671</v>
      </c>
      <c r="Q189" s="5" t="s">
        <v>470</v>
      </c>
      <c r="R189" s="5" t="s">
        <v>588</v>
      </c>
      <c r="S189" s="5">
        <v>10220108</v>
      </c>
      <c r="T189" s="5" t="s">
        <v>590</v>
      </c>
      <c r="U189" s="5">
        <v>7272.73</v>
      </c>
      <c r="W189" s="5" t="s">
        <v>562</v>
      </c>
      <c r="X189" s="6">
        <v>46174</v>
      </c>
      <c r="Y189" s="6">
        <v>46310</v>
      </c>
      <c r="Z189" s="10"/>
      <c r="AA189" s="10"/>
      <c r="AB189" s="5" t="s">
        <v>514</v>
      </c>
      <c r="AD189" s="5" t="s">
        <v>496</v>
      </c>
      <c r="AE189" s="5" t="s">
        <v>1679</v>
      </c>
      <c r="AF189" s="11">
        <v>46185</v>
      </c>
      <c r="AI189" s="5" t="s">
        <v>1680</v>
      </c>
      <c r="AJ189" s="5" t="s">
        <v>1674</v>
      </c>
    </row>
    <row r="190" spans="1:39" ht="15.75" customHeight="1" x14ac:dyDescent="0.3">
      <c r="A190" s="5">
        <v>183</v>
      </c>
      <c r="B190" s="5" t="s">
        <v>1681</v>
      </c>
      <c r="C190" s="5" t="s">
        <v>1299</v>
      </c>
      <c r="D190" s="5" t="s">
        <v>582</v>
      </c>
      <c r="F190" s="5" t="s">
        <v>583</v>
      </c>
      <c r="G190" s="5" t="s">
        <v>584</v>
      </c>
      <c r="H190" s="5" t="s">
        <v>1671</v>
      </c>
      <c r="Q190" s="5" t="s">
        <v>470</v>
      </c>
      <c r="R190" s="5" t="s">
        <v>471</v>
      </c>
      <c r="S190" s="5">
        <v>10220110</v>
      </c>
      <c r="T190" s="5" t="s">
        <v>472</v>
      </c>
      <c r="U190" s="5">
        <v>14545.45</v>
      </c>
      <c r="W190" s="5" t="s">
        <v>562</v>
      </c>
      <c r="X190" s="6">
        <v>46174</v>
      </c>
      <c r="Y190" s="6">
        <v>46310</v>
      </c>
      <c r="Z190" s="10"/>
      <c r="AA190" s="10"/>
      <c r="AB190" s="5" t="s">
        <v>514</v>
      </c>
      <c r="AD190" s="5" t="s">
        <v>496</v>
      </c>
      <c r="AE190" s="5" t="s">
        <v>1682</v>
      </c>
      <c r="AF190" s="11">
        <v>46185</v>
      </c>
      <c r="AI190" s="5" t="s">
        <v>1683</v>
      </c>
      <c r="AJ190" s="5" t="s">
        <v>1674</v>
      </c>
    </row>
    <row r="191" spans="1:39" ht="15.75" customHeight="1" x14ac:dyDescent="0.3">
      <c r="A191" s="5">
        <v>184</v>
      </c>
      <c r="B191" s="5" t="s">
        <v>1684</v>
      </c>
      <c r="C191" s="5" t="s">
        <v>1299</v>
      </c>
      <c r="D191" s="5" t="s">
        <v>582</v>
      </c>
      <c r="F191" s="5" t="s">
        <v>583</v>
      </c>
      <c r="G191" s="5" t="s">
        <v>584</v>
      </c>
      <c r="H191" s="5" t="s">
        <v>1671</v>
      </c>
      <c r="Q191" s="5" t="s">
        <v>470</v>
      </c>
      <c r="R191" s="5" t="s">
        <v>664</v>
      </c>
      <c r="S191" s="5">
        <v>70160101</v>
      </c>
      <c r="T191" s="5" t="s">
        <v>665</v>
      </c>
      <c r="U191" s="5">
        <v>7272.73</v>
      </c>
      <c r="W191" s="5" t="s">
        <v>562</v>
      </c>
      <c r="X191" s="6">
        <v>46174</v>
      </c>
      <c r="Y191" s="6">
        <v>46310</v>
      </c>
      <c r="Z191" s="10"/>
      <c r="AA191" s="10"/>
      <c r="AB191" s="5" t="s">
        <v>514</v>
      </c>
      <c r="AD191" s="5" t="s">
        <v>496</v>
      </c>
      <c r="AE191" s="5" t="s">
        <v>1685</v>
      </c>
      <c r="AF191" s="11">
        <v>46185</v>
      </c>
      <c r="AI191" s="5" t="s">
        <v>1686</v>
      </c>
      <c r="AJ191" s="5" t="s">
        <v>1674</v>
      </c>
    </row>
    <row r="192" spans="1:39" ht="15.75" customHeight="1" x14ac:dyDescent="0.3">
      <c r="A192" s="5">
        <v>185</v>
      </c>
      <c r="B192" s="5" t="s">
        <v>1687</v>
      </c>
      <c r="C192" s="5" t="s">
        <v>1299</v>
      </c>
      <c r="D192" s="5" t="s">
        <v>582</v>
      </c>
      <c r="F192" s="5" t="s">
        <v>583</v>
      </c>
      <c r="G192" s="5" t="s">
        <v>584</v>
      </c>
      <c r="H192" s="5" t="s">
        <v>1671</v>
      </c>
      <c r="Q192" s="5" t="s">
        <v>470</v>
      </c>
      <c r="R192" s="5" t="s">
        <v>726</v>
      </c>
      <c r="S192" s="5">
        <v>70190101</v>
      </c>
      <c r="T192" s="5" t="s">
        <v>727</v>
      </c>
      <c r="U192" s="5">
        <v>7272.73</v>
      </c>
      <c r="W192" s="5" t="s">
        <v>562</v>
      </c>
      <c r="X192" s="6">
        <v>46174</v>
      </c>
      <c r="Y192" s="6">
        <v>46310</v>
      </c>
      <c r="Z192" s="10"/>
      <c r="AA192" s="10"/>
      <c r="AB192" s="5" t="s">
        <v>514</v>
      </c>
      <c r="AD192" s="5" t="s">
        <v>496</v>
      </c>
      <c r="AE192" s="5" t="s">
        <v>1688</v>
      </c>
      <c r="AF192" s="11">
        <v>46185</v>
      </c>
      <c r="AI192" s="5" t="s">
        <v>1689</v>
      </c>
      <c r="AJ192" s="5" t="s">
        <v>1674</v>
      </c>
    </row>
    <row r="193" spans="1:41" ht="15.75" customHeight="1" x14ac:dyDescent="0.3">
      <c r="A193" s="5">
        <v>186</v>
      </c>
      <c r="B193" s="5" t="s">
        <v>1690</v>
      </c>
      <c r="C193" s="5" t="s">
        <v>1299</v>
      </c>
      <c r="D193" s="5" t="s">
        <v>582</v>
      </c>
      <c r="F193" s="5" t="s">
        <v>583</v>
      </c>
      <c r="G193" s="5" t="s">
        <v>584</v>
      </c>
      <c r="H193" s="5" t="s">
        <v>1671</v>
      </c>
      <c r="Q193" s="5" t="s">
        <v>470</v>
      </c>
      <c r="R193" s="5" t="s">
        <v>684</v>
      </c>
      <c r="S193" s="5">
        <v>70120201</v>
      </c>
      <c r="T193" s="5" t="s">
        <v>686</v>
      </c>
      <c r="U193" s="5">
        <v>7272.73</v>
      </c>
      <c r="W193" s="5" t="s">
        <v>562</v>
      </c>
      <c r="X193" s="6">
        <v>46174</v>
      </c>
      <c r="Y193" s="6">
        <v>46310</v>
      </c>
      <c r="Z193" s="10"/>
      <c r="AA193" s="10"/>
      <c r="AB193" s="5" t="s">
        <v>514</v>
      </c>
      <c r="AD193" s="5" t="s">
        <v>496</v>
      </c>
      <c r="AE193" s="5" t="s">
        <v>1691</v>
      </c>
      <c r="AF193" s="11">
        <v>46185</v>
      </c>
      <c r="AI193" s="5" t="s">
        <v>1692</v>
      </c>
      <c r="AJ193" s="5" t="s">
        <v>1674</v>
      </c>
    </row>
    <row r="194" spans="1:41" ht="15.75" customHeight="1" x14ac:dyDescent="0.3">
      <c r="A194" s="5">
        <v>187</v>
      </c>
      <c r="B194" s="5" t="s">
        <v>1693</v>
      </c>
      <c r="C194" s="5" t="s">
        <v>1299</v>
      </c>
      <c r="D194" s="5" t="s">
        <v>582</v>
      </c>
      <c r="F194" s="5" t="s">
        <v>583</v>
      </c>
      <c r="G194" s="5" t="s">
        <v>584</v>
      </c>
      <c r="H194" s="5" t="s">
        <v>1671</v>
      </c>
      <c r="Q194" s="5" t="s">
        <v>470</v>
      </c>
      <c r="R194" s="5" t="s">
        <v>493</v>
      </c>
      <c r="S194" s="5">
        <v>70170101</v>
      </c>
      <c r="T194" s="5" t="s">
        <v>494</v>
      </c>
      <c r="U194" s="5">
        <v>7272.73</v>
      </c>
      <c r="W194" s="5" t="s">
        <v>562</v>
      </c>
      <c r="X194" s="6">
        <v>46174</v>
      </c>
      <c r="Y194" s="6">
        <v>46310</v>
      </c>
      <c r="Z194" s="10"/>
      <c r="AA194" s="10"/>
      <c r="AB194" s="5" t="s">
        <v>514</v>
      </c>
      <c r="AD194" s="5" t="s">
        <v>496</v>
      </c>
      <c r="AE194" s="5" t="s">
        <v>1694</v>
      </c>
      <c r="AF194" s="11">
        <v>46185</v>
      </c>
      <c r="AI194" s="5" t="s">
        <v>1695</v>
      </c>
      <c r="AJ194" s="5" t="s">
        <v>1674</v>
      </c>
    </row>
    <row r="195" spans="1:41" ht="15.75" customHeight="1" x14ac:dyDescent="0.3">
      <c r="A195" s="5">
        <v>188</v>
      </c>
      <c r="B195" s="5" t="s">
        <v>1696</v>
      </c>
      <c r="C195" s="5" t="s">
        <v>1299</v>
      </c>
      <c r="D195" s="5" t="s">
        <v>582</v>
      </c>
      <c r="F195" s="5" t="s">
        <v>583</v>
      </c>
      <c r="G195" s="5" t="s">
        <v>584</v>
      </c>
      <c r="H195" s="5" t="s">
        <v>1671</v>
      </c>
      <c r="Q195" s="5" t="s">
        <v>470</v>
      </c>
      <c r="R195" s="5" t="s">
        <v>510</v>
      </c>
      <c r="S195" s="5">
        <v>70180103</v>
      </c>
      <c r="T195" s="5" t="s">
        <v>511</v>
      </c>
      <c r="U195" s="5">
        <v>7272.73</v>
      </c>
      <c r="W195" s="5" t="s">
        <v>562</v>
      </c>
      <c r="X195" s="6">
        <v>46174</v>
      </c>
      <c r="Y195" s="6">
        <v>46310</v>
      </c>
      <c r="Z195" s="10"/>
      <c r="AA195" s="10"/>
      <c r="AB195" s="5" t="s">
        <v>514</v>
      </c>
      <c r="AD195" s="5" t="s">
        <v>496</v>
      </c>
      <c r="AE195" s="5" t="s">
        <v>1697</v>
      </c>
      <c r="AF195" s="11">
        <v>46185</v>
      </c>
      <c r="AI195" s="5" t="s">
        <v>1698</v>
      </c>
      <c r="AJ195" s="5" t="s">
        <v>1674</v>
      </c>
    </row>
    <row r="196" spans="1:41" ht="15.75" customHeight="1" x14ac:dyDescent="0.3">
      <c r="A196" s="5">
        <v>189</v>
      </c>
      <c r="B196" s="5" t="s">
        <v>1699</v>
      </c>
      <c r="C196" s="5" t="s">
        <v>1299</v>
      </c>
      <c r="D196" s="5" t="s">
        <v>582</v>
      </c>
      <c r="F196" s="5" t="s">
        <v>583</v>
      </c>
      <c r="G196" s="5" t="s">
        <v>584</v>
      </c>
      <c r="H196" s="5" t="s">
        <v>1671</v>
      </c>
      <c r="Q196" s="5" t="s">
        <v>470</v>
      </c>
      <c r="R196" s="5" t="s">
        <v>538</v>
      </c>
      <c r="S196" s="5">
        <v>70150101</v>
      </c>
      <c r="T196" s="5" t="s">
        <v>540</v>
      </c>
      <c r="U196" s="5">
        <v>7272.73</v>
      </c>
      <c r="W196" s="5" t="s">
        <v>562</v>
      </c>
      <c r="X196" s="6">
        <v>46174</v>
      </c>
      <c r="Y196" s="6">
        <v>46310</v>
      </c>
      <c r="Z196" s="10"/>
      <c r="AA196" s="10"/>
      <c r="AB196" s="5" t="s">
        <v>514</v>
      </c>
      <c r="AD196" s="5" t="s">
        <v>496</v>
      </c>
      <c r="AE196" s="5" t="s">
        <v>1700</v>
      </c>
      <c r="AF196" s="11">
        <v>46185</v>
      </c>
      <c r="AI196" s="5" t="s">
        <v>1701</v>
      </c>
      <c r="AJ196" s="5" t="s">
        <v>1674</v>
      </c>
    </row>
    <row r="197" spans="1:41" ht="15.75" customHeight="1" x14ac:dyDescent="0.3">
      <c r="A197" s="5">
        <v>190</v>
      </c>
      <c r="B197" s="5" t="s">
        <v>1702</v>
      </c>
      <c r="C197" s="5" t="s">
        <v>1299</v>
      </c>
      <c r="D197" s="5" t="s">
        <v>582</v>
      </c>
      <c r="F197" s="5" t="s">
        <v>583</v>
      </c>
      <c r="G197" s="5" t="s">
        <v>584</v>
      </c>
      <c r="H197" s="5" t="s">
        <v>1671</v>
      </c>
      <c r="Q197" s="5" t="s">
        <v>470</v>
      </c>
      <c r="R197" s="5" t="s">
        <v>804</v>
      </c>
      <c r="S197" s="5">
        <v>70230101</v>
      </c>
      <c r="T197" s="5" t="s">
        <v>1412</v>
      </c>
      <c r="U197" s="5">
        <v>7272.73</v>
      </c>
      <c r="W197" s="5" t="s">
        <v>562</v>
      </c>
      <c r="X197" s="6">
        <v>46174</v>
      </c>
      <c r="Y197" s="6">
        <v>46310</v>
      </c>
      <c r="Z197" s="10"/>
      <c r="AA197" s="10"/>
      <c r="AB197" s="5" t="s">
        <v>514</v>
      </c>
      <c r="AD197" s="5" t="s">
        <v>496</v>
      </c>
      <c r="AE197" s="5" t="s">
        <v>1703</v>
      </c>
      <c r="AF197" s="11">
        <v>46185</v>
      </c>
      <c r="AI197" s="5" t="s">
        <v>1704</v>
      </c>
      <c r="AJ197" s="5" t="s">
        <v>1674</v>
      </c>
    </row>
    <row r="198" spans="1:41" ht="15.75" customHeight="1" x14ac:dyDescent="0.3">
      <c r="A198" s="5">
        <v>191</v>
      </c>
      <c r="B198" s="5" t="s">
        <v>1705</v>
      </c>
      <c r="C198" s="5" t="s">
        <v>1299</v>
      </c>
      <c r="D198" s="5" t="s">
        <v>582</v>
      </c>
      <c r="F198" s="5" t="s">
        <v>583</v>
      </c>
      <c r="G198" s="5" t="s">
        <v>584</v>
      </c>
      <c r="H198" s="5" t="s">
        <v>1671</v>
      </c>
      <c r="Q198" s="5" t="s">
        <v>470</v>
      </c>
      <c r="R198" s="5" t="s">
        <v>806</v>
      </c>
      <c r="S198" s="5">
        <v>70220101</v>
      </c>
      <c r="T198" s="5" t="s">
        <v>1418</v>
      </c>
      <c r="U198" s="5">
        <v>7272.73</v>
      </c>
      <c r="W198" s="5" t="s">
        <v>562</v>
      </c>
      <c r="X198" s="6">
        <v>46174</v>
      </c>
      <c r="Y198" s="6">
        <v>46310</v>
      </c>
      <c r="Z198" s="10"/>
      <c r="AA198" s="10"/>
      <c r="AB198" s="5" t="s">
        <v>514</v>
      </c>
      <c r="AD198" s="5" t="s">
        <v>496</v>
      </c>
      <c r="AE198" s="5" t="s">
        <v>1706</v>
      </c>
      <c r="AF198" s="11">
        <v>46185</v>
      </c>
      <c r="AI198" s="5" t="s">
        <v>1707</v>
      </c>
      <c r="AJ198" s="5" t="s">
        <v>1674</v>
      </c>
    </row>
    <row r="199" spans="1:41" ht="15.75" customHeight="1" x14ac:dyDescent="0.3">
      <c r="A199" s="5">
        <v>192</v>
      </c>
      <c r="B199" s="5" t="s">
        <v>1708</v>
      </c>
      <c r="C199" s="5" t="s">
        <v>1299</v>
      </c>
      <c r="D199" s="5" t="s">
        <v>582</v>
      </c>
      <c r="F199" s="5" t="s">
        <v>583</v>
      </c>
      <c r="G199" s="5" t="s">
        <v>584</v>
      </c>
      <c r="H199" s="5" t="s">
        <v>1671</v>
      </c>
      <c r="Q199" s="5" t="s">
        <v>470</v>
      </c>
      <c r="R199" s="5" t="s">
        <v>810</v>
      </c>
      <c r="S199" s="5">
        <v>70200101</v>
      </c>
      <c r="T199" s="5" t="s">
        <v>1424</v>
      </c>
      <c r="U199" s="5">
        <v>7272.73</v>
      </c>
      <c r="W199" s="5" t="s">
        <v>562</v>
      </c>
      <c r="X199" s="6">
        <v>46174</v>
      </c>
      <c r="Y199" s="6">
        <v>46310</v>
      </c>
      <c r="Z199" s="10"/>
      <c r="AA199" s="10"/>
      <c r="AB199" s="5" t="s">
        <v>514</v>
      </c>
      <c r="AD199" s="5" t="s">
        <v>496</v>
      </c>
      <c r="AE199" s="5" t="s">
        <v>1709</v>
      </c>
      <c r="AF199" s="11">
        <v>46185</v>
      </c>
      <c r="AI199" s="5" t="s">
        <v>1710</v>
      </c>
      <c r="AJ199" s="5" t="s">
        <v>1674</v>
      </c>
    </row>
    <row r="200" spans="1:41" ht="15.75" customHeight="1" x14ac:dyDescent="0.3">
      <c r="A200" s="5">
        <v>193</v>
      </c>
      <c r="B200" s="5" t="s">
        <v>1711</v>
      </c>
      <c r="C200" s="5" t="s">
        <v>1299</v>
      </c>
      <c r="D200" s="5" t="s">
        <v>582</v>
      </c>
      <c r="F200" s="5" t="s">
        <v>583</v>
      </c>
      <c r="G200" s="5" t="s">
        <v>584</v>
      </c>
      <c r="H200" s="5" t="s">
        <v>1712</v>
      </c>
      <c r="Q200" s="5" t="s">
        <v>470</v>
      </c>
      <c r="R200" s="5" t="s">
        <v>774</v>
      </c>
      <c r="S200" s="5">
        <v>70110101</v>
      </c>
      <c r="T200" s="5" t="s">
        <v>775</v>
      </c>
      <c r="U200" s="5">
        <v>7272.73</v>
      </c>
      <c r="W200" s="5" t="s">
        <v>562</v>
      </c>
      <c r="X200" s="6">
        <v>46174</v>
      </c>
      <c r="Y200" s="6">
        <v>46325</v>
      </c>
      <c r="Z200" s="10"/>
      <c r="AA200" s="10"/>
      <c r="AB200" s="5" t="s">
        <v>514</v>
      </c>
      <c r="AD200" s="5" t="s">
        <v>496</v>
      </c>
      <c r="AE200" s="5" t="s">
        <v>1713</v>
      </c>
      <c r="AF200" s="11">
        <v>46185</v>
      </c>
      <c r="AI200" s="5" t="s">
        <v>1714</v>
      </c>
      <c r="AJ200" s="5" t="s">
        <v>1674</v>
      </c>
    </row>
    <row r="201" spans="1:41" ht="15.75" customHeight="1" x14ac:dyDescent="0.3">
      <c r="A201" s="5">
        <v>194</v>
      </c>
      <c r="B201" s="5" t="s">
        <v>1715</v>
      </c>
      <c r="C201" s="5" t="s">
        <v>1299</v>
      </c>
      <c r="D201" s="5" t="s">
        <v>582</v>
      </c>
      <c r="F201" s="5" t="s">
        <v>583</v>
      </c>
      <c r="G201" s="5" t="s">
        <v>584</v>
      </c>
      <c r="H201" s="5" t="s">
        <v>1716</v>
      </c>
      <c r="Q201" s="5" t="s">
        <v>470</v>
      </c>
      <c r="R201" s="5" t="s">
        <v>559</v>
      </c>
      <c r="S201" s="5">
        <v>10110206</v>
      </c>
      <c r="T201" s="5" t="s">
        <v>1485</v>
      </c>
      <c r="U201" s="5">
        <v>7272.73</v>
      </c>
      <c r="W201" s="5" t="s">
        <v>562</v>
      </c>
      <c r="X201" s="6">
        <v>46174</v>
      </c>
      <c r="Y201" s="6">
        <v>46325</v>
      </c>
      <c r="Z201" s="10"/>
      <c r="AA201" s="10"/>
      <c r="AB201" s="5" t="s">
        <v>514</v>
      </c>
      <c r="AD201" s="5" t="s">
        <v>496</v>
      </c>
      <c r="AE201" s="5" t="s">
        <v>1717</v>
      </c>
      <c r="AF201" s="11">
        <v>46185</v>
      </c>
      <c r="AI201" s="5" t="s">
        <v>1718</v>
      </c>
      <c r="AJ201" s="5" t="s">
        <v>1674</v>
      </c>
    </row>
    <row r="202" spans="1:41" ht="15.75" customHeight="1" x14ac:dyDescent="0.3">
      <c r="A202" s="5">
        <v>195</v>
      </c>
      <c r="B202" s="5" t="s">
        <v>1719</v>
      </c>
      <c r="C202" s="5" t="s">
        <v>1299</v>
      </c>
      <c r="D202" s="5" t="s">
        <v>582</v>
      </c>
      <c r="F202" s="5" t="s">
        <v>583</v>
      </c>
      <c r="G202" s="5" t="s">
        <v>584</v>
      </c>
      <c r="H202" s="5" t="s">
        <v>1720</v>
      </c>
      <c r="Q202" s="5" t="s">
        <v>470</v>
      </c>
      <c r="R202" s="5" t="s">
        <v>559</v>
      </c>
      <c r="S202" s="5">
        <v>10110205</v>
      </c>
      <c r="T202" s="5" t="s">
        <v>850</v>
      </c>
      <c r="U202" s="5">
        <v>7272.73</v>
      </c>
      <c r="W202" s="5" t="s">
        <v>562</v>
      </c>
      <c r="X202" s="6">
        <v>46174</v>
      </c>
      <c r="Y202" s="6">
        <v>46325</v>
      </c>
      <c r="Z202" s="10"/>
      <c r="AA202" s="10"/>
      <c r="AB202" s="5" t="s">
        <v>514</v>
      </c>
      <c r="AD202" s="5" t="s">
        <v>496</v>
      </c>
      <c r="AE202" s="5" t="s">
        <v>1721</v>
      </c>
      <c r="AF202" s="11">
        <v>46185</v>
      </c>
      <c r="AI202" s="5" t="s">
        <v>1722</v>
      </c>
      <c r="AJ202" s="5" t="s">
        <v>1674</v>
      </c>
    </row>
    <row r="203" spans="1:41" ht="15.75" customHeight="1" x14ac:dyDescent="0.3">
      <c r="A203" s="5">
        <v>196</v>
      </c>
      <c r="B203" s="5" t="s">
        <v>1723</v>
      </c>
      <c r="C203" s="5" t="s">
        <v>1299</v>
      </c>
      <c r="D203" s="5" t="s">
        <v>582</v>
      </c>
      <c r="F203" s="5" t="s">
        <v>583</v>
      </c>
      <c r="G203" s="5" t="s">
        <v>584</v>
      </c>
      <c r="H203" s="5" t="s">
        <v>1724</v>
      </c>
      <c r="Q203" s="5" t="s">
        <v>470</v>
      </c>
      <c r="R203" s="5" t="s">
        <v>559</v>
      </c>
      <c r="S203" s="5">
        <v>10110102</v>
      </c>
      <c r="T203" s="5" t="s">
        <v>716</v>
      </c>
      <c r="U203" s="5">
        <v>7272.73</v>
      </c>
      <c r="W203" s="5" t="s">
        <v>562</v>
      </c>
      <c r="X203" s="6">
        <v>46174</v>
      </c>
      <c r="Y203" s="6">
        <v>46325</v>
      </c>
      <c r="Z203" s="10"/>
      <c r="AA203" s="10"/>
      <c r="AB203" s="5" t="s">
        <v>514</v>
      </c>
      <c r="AD203" s="5" t="s">
        <v>496</v>
      </c>
      <c r="AE203" s="5" t="s">
        <v>1725</v>
      </c>
      <c r="AF203" s="11">
        <v>46185</v>
      </c>
      <c r="AI203" s="5" t="s">
        <v>1726</v>
      </c>
      <c r="AJ203" s="5" t="s">
        <v>1674</v>
      </c>
    </row>
    <row r="204" spans="1:41" ht="15.75" customHeight="1" x14ac:dyDescent="0.3">
      <c r="A204" s="5">
        <v>197</v>
      </c>
      <c r="B204" s="5" t="s">
        <v>1727</v>
      </c>
      <c r="C204" s="5" t="s">
        <v>1299</v>
      </c>
      <c r="D204" s="5" t="s">
        <v>582</v>
      </c>
      <c r="F204" s="5" t="s">
        <v>583</v>
      </c>
      <c r="G204" s="5" t="s">
        <v>584</v>
      </c>
      <c r="H204" s="5" t="s">
        <v>1728</v>
      </c>
      <c r="Q204" s="5" t="s">
        <v>470</v>
      </c>
      <c r="R204" s="5" t="s">
        <v>774</v>
      </c>
      <c r="S204" s="5">
        <v>70110103</v>
      </c>
      <c r="T204" s="5" t="s">
        <v>877</v>
      </c>
      <c r="U204" s="5">
        <v>7272.73</v>
      </c>
      <c r="W204" s="5" t="s">
        <v>562</v>
      </c>
      <c r="X204" s="6">
        <v>46174</v>
      </c>
      <c r="Y204" s="6">
        <v>46325</v>
      </c>
      <c r="Z204" s="10"/>
      <c r="AA204" s="10"/>
      <c r="AB204" s="5" t="s">
        <v>514</v>
      </c>
      <c r="AD204" s="5" t="s">
        <v>496</v>
      </c>
      <c r="AE204" s="5" t="s">
        <v>1729</v>
      </c>
      <c r="AF204" s="11">
        <v>46185</v>
      </c>
      <c r="AI204" s="5" t="s">
        <v>1730</v>
      </c>
      <c r="AJ204" s="5" t="s">
        <v>1674</v>
      </c>
    </row>
    <row r="205" spans="1:41" ht="15.75" customHeight="1" x14ac:dyDescent="0.3">
      <c r="A205" s="5">
        <v>198</v>
      </c>
      <c r="B205" s="5" t="s">
        <v>1731</v>
      </c>
      <c r="C205" s="5" t="s">
        <v>1299</v>
      </c>
      <c r="D205" s="5" t="s">
        <v>582</v>
      </c>
      <c r="F205" s="5" t="s">
        <v>583</v>
      </c>
      <c r="G205" s="5" t="s">
        <v>584</v>
      </c>
      <c r="H205" s="5" t="s">
        <v>1732</v>
      </c>
      <c r="Q205" s="5" t="s">
        <v>470</v>
      </c>
      <c r="R205" s="5" t="s">
        <v>774</v>
      </c>
      <c r="S205" s="5">
        <v>70110107</v>
      </c>
      <c r="T205" s="5" t="s">
        <v>896</v>
      </c>
      <c r="U205" s="5">
        <v>7272.73</v>
      </c>
      <c r="W205" s="5" t="s">
        <v>562</v>
      </c>
      <c r="X205" s="6">
        <v>46174</v>
      </c>
      <c r="Y205" s="6">
        <v>46325</v>
      </c>
      <c r="Z205" s="10"/>
      <c r="AA205" s="10"/>
      <c r="AB205" s="5" t="s">
        <v>514</v>
      </c>
      <c r="AD205" s="5" t="s">
        <v>496</v>
      </c>
      <c r="AE205" s="5" t="s">
        <v>1733</v>
      </c>
      <c r="AF205" s="11">
        <v>46185</v>
      </c>
      <c r="AI205" s="5" t="s">
        <v>1734</v>
      </c>
      <c r="AJ205" s="5" t="s">
        <v>1674</v>
      </c>
    </row>
    <row r="206" spans="1:41" ht="15.75" customHeight="1" x14ac:dyDescent="0.3">
      <c r="A206" s="5">
        <v>199</v>
      </c>
      <c r="B206" s="5" t="s">
        <v>1735</v>
      </c>
      <c r="C206" s="5" t="s">
        <v>1299</v>
      </c>
      <c r="D206" s="5" t="s">
        <v>582</v>
      </c>
      <c r="F206" s="5" t="s">
        <v>583</v>
      </c>
      <c r="G206" s="5" t="s">
        <v>584</v>
      </c>
      <c r="H206" s="5" t="s">
        <v>1736</v>
      </c>
      <c r="Q206" s="5" t="s">
        <v>470</v>
      </c>
      <c r="R206" s="5" t="s">
        <v>559</v>
      </c>
      <c r="S206" s="5">
        <v>10110201</v>
      </c>
      <c r="T206" s="5" t="s">
        <v>614</v>
      </c>
      <c r="U206" s="5">
        <v>7272.73</v>
      </c>
      <c r="W206" s="5" t="s">
        <v>562</v>
      </c>
      <c r="X206" s="6">
        <v>46174</v>
      </c>
      <c r="Y206" s="6">
        <v>46325</v>
      </c>
      <c r="Z206" s="10"/>
      <c r="AA206" s="10"/>
      <c r="AB206" s="5" t="s">
        <v>514</v>
      </c>
      <c r="AD206" s="5" t="s">
        <v>496</v>
      </c>
      <c r="AE206" s="5" t="s">
        <v>1737</v>
      </c>
      <c r="AF206" s="11">
        <v>46185</v>
      </c>
      <c r="AI206" s="5" t="s">
        <v>1738</v>
      </c>
      <c r="AJ206" s="5" t="s">
        <v>1674</v>
      </c>
    </row>
    <row r="207" spans="1:41" ht="15.75" customHeight="1" x14ac:dyDescent="0.3">
      <c r="A207" s="5">
        <v>200</v>
      </c>
      <c r="B207" s="5" t="s">
        <v>1739</v>
      </c>
      <c r="C207" s="5" t="s">
        <v>1299</v>
      </c>
      <c r="D207" s="5" t="s">
        <v>582</v>
      </c>
      <c r="F207" s="5" t="s">
        <v>583</v>
      </c>
      <c r="G207" s="5" t="s">
        <v>584</v>
      </c>
      <c r="H207" s="5" t="s">
        <v>1740</v>
      </c>
      <c r="Q207" s="5" t="s">
        <v>470</v>
      </c>
      <c r="R207" s="5" t="s">
        <v>559</v>
      </c>
      <c r="S207" s="5">
        <v>10110204</v>
      </c>
      <c r="T207" s="5" t="s">
        <v>561</v>
      </c>
      <c r="U207" s="5">
        <v>7272.73</v>
      </c>
      <c r="W207" s="5" t="s">
        <v>562</v>
      </c>
      <c r="X207" s="6">
        <v>46174</v>
      </c>
      <c r="Y207" s="6">
        <v>46325</v>
      </c>
      <c r="Z207" s="10"/>
      <c r="AA207" s="10"/>
      <c r="AB207" s="5" t="s">
        <v>514</v>
      </c>
      <c r="AD207" s="5" t="s">
        <v>496</v>
      </c>
      <c r="AE207" s="5" t="s">
        <v>1741</v>
      </c>
      <c r="AF207" s="11">
        <v>46185</v>
      </c>
      <c r="AI207" s="5" t="s">
        <v>1742</v>
      </c>
      <c r="AJ207" s="5" t="s">
        <v>1674</v>
      </c>
      <c r="AM207" s="5" t="s">
        <v>1743</v>
      </c>
    </row>
    <row r="208" spans="1:41" ht="15.75" customHeight="1" x14ac:dyDescent="0.3">
      <c r="A208" s="5">
        <v>201</v>
      </c>
      <c r="B208" s="5" t="s">
        <v>1744</v>
      </c>
      <c r="C208" s="5" t="s">
        <v>1299</v>
      </c>
      <c r="D208" s="5" t="s">
        <v>533</v>
      </c>
      <c r="F208" s="5" t="s">
        <v>534</v>
      </c>
      <c r="G208" s="5" t="s">
        <v>535</v>
      </c>
      <c r="H208" s="5" t="s">
        <v>1745</v>
      </c>
      <c r="Q208" s="5" t="s">
        <v>470</v>
      </c>
      <c r="R208" s="5" t="s">
        <v>774</v>
      </c>
      <c r="S208" s="5">
        <v>70110103</v>
      </c>
      <c r="T208" s="5" t="s">
        <v>877</v>
      </c>
      <c r="U208" s="5">
        <v>15000</v>
      </c>
      <c r="V208" s="5">
        <v>15000</v>
      </c>
      <c r="W208" s="5" t="s">
        <v>474</v>
      </c>
      <c r="X208" s="6">
        <v>46113</v>
      </c>
      <c r="Y208" s="6">
        <v>46265</v>
      </c>
      <c r="Z208" s="6">
        <v>46174</v>
      </c>
      <c r="AA208" s="10"/>
      <c r="AB208" s="5" t="s">
        <v>478</v>
      </c>
      <c r="AD208" s="5" t="s">
        <v>542</v>
      </c>
      <c r="AE208" s="5" t="s">
        <v>1010</v>
      </c>
      <c r="AF208" s="11">
        <v>46147</v>
      </c>
      <c r="AG208" s="5" t="s">
        <v>1746</v>
      </c>
      <c r="AH208" s="5" t="s">
        <v>1747</v>
      </c>
      <c r="AI208" s="5" t="s">
        <v>1748</v>
      </c>
      <c r="AJ208" s="5" t="s">
        <v>1749</v>
      </c>
      <c r="AM208" s="5" t="s">
        <v>1750</v>
      </c>
      <c r="AO208" s="5" t="s">
        <v>1751</v>
      </c>
    </row>
    <row r="209" spans="1:41" ht="15.75" customHeight="1" x14ac:dyDescent="0.3">
      <c r="A209" s="5">
        <v>202</v>
      </c>
      <c r="B209" s="5" t="s">
        <v>1752</v>
      </c>
      <c r="C209" s="5" t="s">
        <v>1299</v>
      </c>
      <c r="D209" s="5" t="s">
        <v>533</v>
      </c>
      <c r="F209" s="5" t="s">
        <v>534</v>
      </c>
      <c r="G209" s="5" t="s">
        <v>535</v>
      </c>
      <c r="H209" s="5" t="s">
        <v>1753</v>
      </c>
      <c r="Q209" s="5" t="s">
        <v>470</v>
      </c>
      <c r="R209" s="5" t="s">
        <v>774</v>
      </c>
      <c r="S209" s="5">
        <v>70110107</v>
      </c>
      <c r="T209" s="5" t="s">
        <v>896</v>
      </c>
      <c r="U209" s="5">
        <v>15000</v>
      </c>
      <c r="V209" s="5">
        <v>15000</v>
      </c>
      <c r="W209" s="5" t="s">
        <v>474</v>
      </c>
      <c r="X209" s="6">
        <v>46113</v>
      </c>
      <c r="Y209" s="6">
        <v>46265</v>
      </c>
      <c r="Z209" s="6">
        <v>46174</v>
      </c>
      <c r="AA209" s="10"/>
      <c r="AB209" s="5" t="s">
        <v>478</v>
      </c>
      <c r="AD209" s="5" t="s">
        <v>542</v>
      </c>
      <c r="AE209" s="5" t="s">
        <v>1010</v>
      </c>
      <c r="AF209" s="11">
        <v>46147</v>
      </c>
      <c r="AG209" s="5" t="s">
        <v>1754</v>
      </c>
      <c r="AH209" s="5" t="s">
        <v>1755</v>
      </c>
      <c r="AI209" s="5" t="s">
        <v>1756</v>
      </c>
      <c r="AJ209" s="5" t="s">
        <v>1757</v>
      </c>
      <c r="AM209" s="5" t="s">
        <v>1758</v>
      </c>
      <c r="AO209" s="5" t="s">
        <v>1751</v>
      </c>
    </row>
    <row r="210" spans="1:41" ht="15.75" customHeight="1" x14ac:dyDescent="0.3">
      <c r="A210" s="5">
        <v>203</v>
      </c>
      <c r="B210" s="5" t="s">
        <v>1759</v>
      </c>
      <c r="C210" s="5" t="s">
        <v>1299</v>
      </c>
      <c r="D210" s="5" t="s">
        <v>1760</v>
      </c>
      <c r="F210" s="5" t="s">
        <v>1761</v>
      </c>
      <c r="G210" s="5" t="s">
        <v>1762</v>
      </c>
      <c r="H210" s="5" t="s">
        <v>1763</v>
      </c>
      <c r="Q210" s="5" t="s">
        <v>470</v>
      </c>
      <c r="R210" s="5" t="s">
        <v>588</v>
      </c>
      <c r="S210" s="5">
        <v>10220108</v>
      </c>
      <c r="T210" s="5" t="s">
        <v>590</v>
      </c>
      <c r="U210" s="5">
        <v>29000</v>
      </c>
      <c r="W210" s="5" t="s">
        <v>512</v>
      </c>
      <c r="X210" s="6">
        <v>46174</v>
      </c>
      <c r="Y210" s="6">
        <v>46338</v>
      </c>
      <c r="Z210" s="10"/>
      <c r="AA210" s="10"/>
      <c r="AB210" s="5" t="s">
        <v>514</v>
      </c>
      <c r="AD210" s="5" t="s">
        <v>1764</v>
      </c>
      <c r="AE210" s="5" t="s">
        <v>1765</v>
      </c>
      <c r="AF210" s="11">
        <v>46230</v>
      </c>
      <c r="AI210" s="5" t="s">
        <v>1766</v>
      </c>
      <c r="AJ210" s="5" t="s">
        <v>1767</v>
      </c>
      <c r="AM210" s="5" t="s">
        <v>1287</v>
      </c>
    </row>
    <row r="211" spans="1:41" ht="15.75" customHeight="1" x14ac:dyDescent="0.3">
      <c r="A211" s="5">
        <v>204</v>
      </c>
      <c r="B211" s="5" t="s">
        <v>1768</v>
      </c>
      <c r="C211" s="5" t="s">
        <v>1299</v>
      </c>
      <c r="D211" s="5" t="s">
        <v>1760</v>
      </c>
      <c r="F211" s="5" t="s">
        <v>1761</v>
      </c>
      <c r="G211" s="5" t="s">
        <v>1762</v>
      </c>
      <c r="H211" s="5" t="s">
        <v>1763</v>
      </c>
      <c r="Q211" s="5" t="s">
        <v>470</v>
      </c>
      <c r="R211" s="5" t="s">
        <v>684</v>
      </c>
      <c r="S211" s="5">
        <v>70120201</v>
      </c>
      <c r="T211" s="5" t="s">
        <v>686</v>
      </c>
      <c r="U211" s="5">
        <v>39000</v>
      </c>
      <c r="W211" s="5" t="s">
        <v>512</v>
      </c>
      <c r="X211" s="6">
        <v>46174</v>
      </c>
      <c r="Y211" s="6">
        <v>46338</v>
      </c>
      <c r="Z211" s="10"/>
      <c r="AA211" s="10"/>
      <c r="AB211" s="5" t="s">
        <v>514</v>
      </c>
      <c r="AD211" s="5" t="s">
        <v>1764</v>
      </c>
      <c r="AE211" s="5" t="s">
        <v>1769</v>
      </c>
      <c r="AF211" s="11">
        <v>46230</v>
      </c>
      <c r="AI211" s="5" t="s">
        <v>1770</v>
      </c>
      <c r="AJ211" s="5" t="s">
        <v>1767</v>
      </c>
      <c r="AM211" s="5" t="s">
        <v>1287</v>
      </c>
    </row>
    <row r="212" spans="1:41" ht="15.75" customHeight="1" x14ac:dyDescent="0.3">
      <c r="A212" s="5">
        <v>205</v>
      </c>
      <c r="B212" s="5" t="s">
        <v>1771</v>
      </c>
      <c r="C212" s="5" t="s">
        <v>1299</v>
      </c>
      <c r="D212" s="5" t="s">
        <v>1760</v>
      </c>
      <c r="F212" s="5" t="s">
        <v>1761</v>
      </c>
      <c r="G212" s="5" t="s">
        <v>1762</v>
      </c>
      <c r="H212" s="5" t="s">
        <v>1763</v>
      </c>
      <c r="Q212" s="5" t="s">
        <v>470</v>
      </c>
      <c r="R212" s="5" t="s">
        <v>538</v>
      </c>
      <c r="S212" s="5">
        <v>70150101</v>
      </c>
      <c r="T212" s="5" t="s">
        <v>540</v>
      </c>
      <c r="U212" s="5">
        <v>19500</v>
      </c>
      <c r="W212" s="5" t="s">
        <v>512</v>
      </c>
      <c r="X212" s="6">
        <v>46174</v>
      </c>
      <c r="Y212" s="6">
        <v>46338</v>
      </c>
      <c r="Z212" s="10"/>
      <c r="AA212" s="10"/>
      <c r="AB212" s="5" t="s">
        <v>514</v>
      </c>
      <c r="AD212" s="5" t="s">
        <v>1764</v>
      </c>
      <c r="AE212" s="5" t="s">
        <v>1772</v>
      </c>
      <c r="AF212" s="11">
        <v>46230</v>
      </c>
      <c r="AI212" s="5" t="s">
        <v>1773</v>
      </c>
      <c r="AJ212" s="5" t="s">
        <v>1767</v>
      </c>
      <c r="AM212" s="5" t="s">
        <v>1287</v>
      </c>
    </row>
    <row r="213" spans="1:41" ht="15.75" customHeight="1" x14ac:dyDescent="0.3">
      <c r="A213" s="5">
        <v>206</v>
      </c>
      <c r="B213" s="5" t="s">
        <v>1774</v>
      </c>
      <c r="C213" s="5" t="s">
        <v>1299</v>
      </c>
      <c r="D213" s="5" t="s">
        <v>1760</v>
      </c>
      <c r="F213" s="5" t="s">
        <v>1761</v>
      </c>
      <c r="G213" s="5" t="s">
        <v>1762</v>
      </c>
      <c r="H213" s="5" t="s">
        <v>1763</v>
      </c>
      <c r="Q213" s="5" t="s">
        <v>470</v>
      </c>
      <c r="R213" s="5" t="s">
        <v>726</v>
      </c>
      <c r="S213" s="5">
        <v>70190101</v>
      </c>
      <c r="T213" s="5" t="s">
        <v>727</v>
      </c>
      <c r="U213" s="5">
        <v>19500</v>
      </c>
      <c r="W213" s="5" t="s">
        <v>512</v>
      </c>
      <c r="X213" s="6">
        <v>46174</v>
      </c>
      <c r="Y213" s="6">
        <v>46338</v>
      </c>
      <c r="Z213" s="10"/>
      <c r="AA213" s="10"/>
      <c r="AB213" s="5" t="s">
        <v>514</v>
      </c>
      <c r="AD213" s="5" t="s">
        <v>1764</v>
      </c>
      <c r="AE213" s="5" t="s">
        <v>1775</v>
      </c>
      <c r="AF213" s="11">
        <v>46230</v>
      </c>
      <c r="AI213" s="5" t="s">
        <v>1776</v>
      </c>
      <c r="AJ213" s="5" t="s">
        <v>1767</v>
      </c>
      <c r="AM213" s="5" t="s">
        <v>1287</v>
      </c>
    </row>
    <row r="214" spans="1:41" ht="15.75" customHeight="1" x14ac:dyDescent="0.3">
      <c r="A214" s="5">
        <v>207</v>
      </c>
      <c r="B214" s="5" t="s">
        <v>1777</v>
      </c>
      <c r="C214" s="5" t="s">
        <v>1299</v>
      </c>
      <c r="D214" s="5" t="s">
        <v>1760</v>
      </c>
      <c r="F214" s="5" t="s">
        <v>1761</v>
      </c>
      <c r="G214" s="5" t="s">
        <v>1762</v>
      </c>
      <c r="H214" s="5" t="s">
        <v>1763</v>
      </c>
      <c r="Q214" s="5" t="s">
        <v>470</v>
      </c>
      <c r="R214" s="5" t="s">
        <v>493</v>
      </c>
      <c r="S214" s="5">
        <v>70170101</v>
      </c>
      <c r="T214" s="5" t="s">
        <v>494</v>
      </c>
      <c r="U214" s="5">
        <v>19500</v>
      </c>
      <c r="W214" s="5" t="s">
        <v>512</v>
      </c>
      <c r="X214" s="6">
        <v>46174</v>
      </c>
      <c r="Y214" s="6">
        <v>46338</v>
      </c>
      <c r="Z214" s="10"/>
      <c r="AA214" s="10"/>
      <c r="AB214" s="5" t="s">
        <v>514</v>
      </c>
      <c r="AD214" s="5" t="s">
        <v>1764</v>
      </c>
      <c r="AE214" s="5" t="s">
        <v>1778</v>
      </c>
      <c r="AF214" s="11">
        <v>46230</v>
      </c>
      <c r="AI214" s="5" t="s">
        <v>1779</v>
      </c>
      <c r="AJ214" s="5" t="s">
        <v>1767</v>
      </c>
      <c r="AM214" s="5" t="s">
        <v>1287</v>
      </c>
    </row>
    <row r="215" spans="1:41" ht="15.75" customHeight="1" x14ac:dyDescent="0.3">
      <c r="A215" s="5">
        <v>208</v>
      </c>
      <c r="B215" s="5" t="s">
        <v>1780</v>
      </c>
      <c r="C215" s="5" t="s">
        <v>1299</v>
      </c>
      <c r="D215" s="5" t="s">
        <v>1760</v>
      </c>
      <c r="F215" s="5" t="s">
        <v>1761</v>
      </c>
      <c r="G215" s="5" t="s">
        <v>1762</v>
      </c>
      <c r="H215" s="5" t="s">
        <v>1763</v>
      </c>
      <c r="Q215" s="5" t="s">
        <v>470</v>
      </c>
      <c r="R215" s="5" t="s">
        <v>471</v>
      </c>
      <c r="S215" s="5">
        <v>10220110</v>
      </c>
      <c r="T215" s="5" t="s">
        <v>472</v>
      </c>
      <c r="U215" s="5">
        <v>19500</v>
      </c>
      <c r="W215" s="5" t="s">
        <v>512</v>
      </c>
      <c r="X215" s="6">
        <v>46174</v>
      </c>
      <c r="Y215" s="6">
        <v>46338</v>
      </c>
      <c r="Z215" s="10"/>
      <c r="AA215" s="10"/>
      <c r="AB215" s="5" t="s">
        <v>514</v>
      </c>
      <c r="AD215" s="5" t="s">
        <v>1764</v>
      </c>
      <c r="AE215" s="5" t="s">
        <v>1781</v>
      </c>
      <c r="AF215" s="11">
        <v>46230</v>
      </c>
      <c r="AI215" s="5" t="s">
        <v>1782</v>
      </c>
      <c r="AJ215" s="5" t="s">
        <v>1767</v>
      </c>
      <c r="AM215" s="5" t="s">
        <v>1287</v>
      </c>
    </row>
    <row r="216" spans="1:41" ht="15.75" customHeight="1" x14ac:dyDescent="0.3">
      <c r="A216" s="5">
        <v>209</v>
      </c>
      <c r="B216" s="5" t="s">
        <v>1783</v>
      </c>
      <c r="C216" s="5" t="s">
        <v>1299</v>
      </c>
      <c r="D216" s="5" t="s">
        <v>1760</v>
      </c>
      <c r="F216" s="5" t="s">
        <v>1761</v>
      </c>
      <c r="G216" s="5" t="s">
        <v>1762</v>
      </c>
      <c r="H216" s="5" t="s">
        <v>1784</v>
      </c>
      <c r="Q216" s="5" t="s">
        <v>470</v>
      </c>
      <c r="R216" s="5" t="s">
        <v>774</v>
      </c>
      <c r="S216" s="5">
        <v>70110103</v>
      </c>
      <c r="T216" s="5" t="s">
        <v>877</v>
      </c>
      <c r="U216" s="5">
        <v>39000</v>
      </c>
      <c r="W216" s="5" t="s">
        <v>512</v>
      </c>
      <c r="X216" s="6">
        <v>46174</v>
      </c>
      <c r="Y216" s="6">
        <v>46338</v>
      </c>
      <c r="Z216" s="10"/>
      <c r="AA216" s="10"/>
      <c r="AB216" s="5" t="s">
        <v>514</v>
      </c>
      <c r="AD216" s="5" t="s">
        <v>1764</v>
      </c>
      <c r="AE216" s="5" t="s">
        <v>1785</v>
      </c>
      <c r="AF216" s="11">
        <v>46230</v>
      </c>
      <c r="AI216" s="5" t="s">
        <v>1786</v>
      </c>
      <c r="AJ216" s="5" t="s">
        <v>1767</v>
      </c>
      <c r="AM216" s="5" t="s">
        <v>1287</v>
      </c>
    </row>
    <row r="217" spans="1:41" ht="15.75" customHeight="1" x14ac:dyDescent="0.3">
      <c r="A217" s="5">
        <v>210</v>
      </c>
      <c r="B217" s="5" t="s">
        <v>1787</v>
      </c>
      <c r="C217" s="5" t="s">
        <v>1299</v>
      </c>
      <c r="D217" s="5" t="s">
        <v>1760</v>
      </c>
      <c r="F217" s="5" t="s">
        <v>1761</v>
      </c>
      <c r="G217" s="5" t="s">
        <v>1762</v>
      </c>
      <c r="H217" s="5" t="s">
        <v>1788</v>
      </c>
      <c r="Q217" s="5" t="s">
        <v>470</v>
      </c>
      <c r="R217" s="5" t="s">
        <v>774</v>
      </c>
      <c r="S217" s="5">
        <v>70110101</v>
      </c>
      <c r="T217" s="5" t="s">
        <v>775</v>
      </c>
      <c r="U217" s="5">
        <v>39000</v>
      </c>
      <c r="W217" s="5" t="s">
        <v>512</v>
      </c>
      <c r="X217" s="6">
        <v>46174</v>
      </c>
      <c r="Y217" s="6">
        <v>46338</v>
      </c>
      <c r="Z217" s="10"/>
      <c r="AA217" s="10"/>
      <c r="AB217" s="5" t="s">
        <v>514</v>
      </c>
      <c r="AD217" s="5" t="s">
        <v>1764</v>
      </c>
      <c r="AE217" s="5" t="s">
        <v>1789</v>
      </c>
      <c r="AF217" s="11">
        <v>46230</v>
      </c>
      <c r="AI217" s="5" t="s">
        <v>1790</v>
      </c>
      <c r="AJ217" s="5" t="s">
        <v>1767</v>
      </c>
      <c r="AM217" s="5" t="s">
        <v>1287</v>
      </c>
    </row>
    <row r="218" spans="1:41" ht="15.75" customHeight="1" x14ac:dyDescent="0.3">
      <c r="A218" s="5">
        <v>211</v>
      </c>
      <c r="B218" s="5" t="s">
        <v>1791</v>
      </c>
      <c r="C218" s="5" t="s">
        <v>1299</v>
      </c>
      <c r="D218" s="5" t="s">
        <v>1760</v>
      </c>
      <c r="F218" s="5" t="s">
        <v>1761</v>
      </c>
      <c r="G218" s="5" t="s">
        <v>1762</v>
      </c>
      <c r="H218" s="5" t="s">
        <v>1792</v>
      </c>
      <c r="Q218" s="5" t="s">
        <v>470</v>
      </c>
      <c r="R218" s="5" t="s">
        <v>559</v>
      </c>
      <c r="S218" s="5">
        <v>10110201</v>
      </c>
      <c r="T218" s="5" t="s">
        <v>614</v>
      </c>
      <c r="U218" s="5">
        <v>44000</v>
      </c>
      <c r="W218" s="5" t="s">
        <v>512</v>
      </c>
      <c r="X218" s="6">
        <v>46174</v>
      </c>
      <c r="Y218" s="6">
        <v>46338</v>
      </c>
      <c r="Z218" s="10"/>
      <c r="AA218" s="10"/>
      <c r="AB218" s="5" t="s">
        <v>514</v>
      </c>
      <c r="AD218" s="5" t="s">
        <v>1764</v>
      </c>
      <c r="AE218" s="5" t="s">
        <v>1793</v>
      </c>
      <c r="AF218" s="11">
        <v>46230</v>
      </c>
      <c r="AI218" s="5" t="s">
        <v>1794</v>
      </c>
      <c r="AJ218" s="5" t="s">
        <v>1767</v>
      </c>
      <c r="AM218" s="5" t="s">
        <v>1287</v>
      </c>
    </row>
    <row r="219" spans="1:41" ht="15.75" customHeight="1" x14ac:dyDescent="0.3">
      <c r="A219" s="5">
        <v>212</v>
      </c>
      <c r="B219" s="5" t="s">
        <v>1795</v>
      </c>
      <c r="C219" s="5" t="s">
        <v>1299</v>
      </c>
      <c r="D219" s="5" t="s">
        <v>1760</v>
      </c>
      <c r="F219" s="5" t="s">
        <v>1761</v>
      </c>
      <c r="G219" s="5" t="s">
        <v>1762</v>
      </c>
      <c r="H219" s="5" t="s">
        <v>1796</v>
      </c>
      <c r="Q219" s="5" t="s">
        <v>470</v>
      </c>
      <c r="R219" s="5" t="s">
        <v>559</v>
      </c>
      <c r="S219" s="5">
        <v>10110204</v>
      </c>
      <c r="T219" s="5" t="s">
        <v>561</v>
      </c>
      <c r="U219" s="5">
        <v>44000</v>
      </c>
      <c r="W219" s="5" t="s">
        <v>512</v>
      </c>
      <c r="X219" s="6">
        <v>46174</v>
      </c>
      <c r="Y219" s="6">
        <v>46338</v>
      </c>
      <c r="Z219" s="10"/>
      <c r="AA219" s="10"/>
      <c r="AB219" s="5" t="s">
        <v>514</v>
      </c>
      <c r="AD219" s="5" t="s">
        <v>1764</v>
      </c>
      <c r="AE219" s="5" t="s">
        <v>1797</v>
      </c>
      <c r="AF219" s="11">
        <v>46230</v>
      </c>
      <c r="AI219" s="5" t="s">
        <v>1798</v>
      </c>
      <c r="AJ219" s="5" t="s">
        <v>1767</v>
      </c>
      <c r="AM219" s="5" t="s">
        <v>1799</v>
      </c>
    </row>
    <row r="220" spans="1:41" ht="15.75" customHeight="1" x14ac:dyDescent="0.3">
      <c r="A220" s="5">
        <v>213</v>
      </c>
      <c r="B220" s="5" t="s">
        <v>1800</v>
      </c>
      <c r="C220" s="5" t="s">
        <v>1299</v>
      </c>
      <c r="D220" s="5" t="s">
        <v>1760</v>
      </c>
      <c r="F220" s="5" t="s">
        <v>1761</v>
      </c>
      <c r="G220" s="5" t="s">
        <v>1762</v>
      </c>
      <c r="H220" s="5" t="s">
        <v>1801</v>
      </c>
      <c r="Q220" s="5" t="s">
        <v>470</v>
      </c>
      <c r="R220" s="5" t="s">
        <v>559</v>
      </c>
      <c r="S220" s="5">
        <v>10110205</v>
      </c>
      <c r="T220" s="5" t="s">
        <v>850</v>
      </c>
      <c r="U220" s="5">
        <v>44000</v>
      </c>
      <c r="W220" s="5" t="s">
        <v>512</v>
      </c>
      <c r="X220" s="6">
        <v>46174</v>
      </c>
      <c r="Y220" s="6">
        <v>46338</v>
      </c>
      <c r="Z220" s="10"/>
      <c r="AA220" s="10"/>
      <c r="AB220" s="5" t="s">
        <v>514</v>
      </c>
      <c r="AD220" s="5" t="s">
        <v>1764</v>
      </c>
      <c r="AE220" s="5" t="s">
        <v>1802</v>
      </c>
      <c r="AF220" s="11">
        <v>46230</v>
      </c>
      <c r="AI220" s="5" t="s">
        <v>1803</v>
      </c>
      <c r="AJ220" s="5" t="s">
        <v>1767</v>
      </c>
      <c r="AM220" s="5" t="s">
        <v>1287</v>
      </c>
    </row>
    <row r="221" spans="1:41" ht="15.75" customHeight="1" x14ac:dyDescent="0.3">
      <c r="A221" s="5">
        <v>214</v>
      </c>
      <c r="B221" s="5" t="s">
        <v>1804</v>
      </c>
      <c r="C221" s="5" t="s">
        <v>1299</v>
      </c>
      <c r="D221" s="5" t="s">
        <v>1760</v>
      </c>
      <c r="F221" s="5" t="s">
        <v>1761</v>
      </c>
      <c r="G221" s="5" t="s">
        <v>1762</v>
      </c>
      <c r="H221" s="5" t="s">
        <v>1805</v>
      </c>
      <c r="Q221" s="5" t="s">
        <v>470</v>
      </c>
      <c r="R221" s="5" t="s">
        <v>559</v>
      </c>
      <c r="S221" s="5">
        <v>10110102</v>
      </c>
      <c r="T221" s="5" t="s">
        <v>716</v>
      </c>
      <c r="U221" s="5">
        <v>44000</v>
      </c>
      <c r="W221" s="5" t="s">
        <v>512</v>
      </c>
      <c r="X221" s="6">
        <v>46235</v>
      </c>
      <c r="Y221" s="6">
        <v>46295</v>
      </c>
      <c r="Z221" s="10"/>
      <c r="AA221" s="10"/>
      <c r="AB221" s="5" t="s">
        <v>514</v>
      </c>
      <c r="AD221" s="5" t="s">
        <v>1764</v>
      </c>
      <c r="AE221" s="5" t="s">
        <v>1806</v>
      </c>
      <c r="AF221" s="11">
        <v>46230</v>
      </c>
      <c r="AI221" s="5" t="s">
        <v>1807</v>
      </c>
      <c r="AJ221" s="5" t="s">
        <v>1767</v>
      </c>
      <c r="AM221" s="5" t="s">
        <v>1287</v>
      </c>
    </row>
    <row r="222" spans="1:41" ht="15.75" customHeight="1" x14ac:dyDescent="0.3">
      <c r="A222" s="5">
        <v>215</v>
      </c>
      <c r="B222" s="5" t="s">
        <v>1808</v>
      </c>
      <c r="C222" s="5" t="s">
        <v>1299</v>
      </c>
      <c r="D222" s="5" t="s">
        <v>1809</v>
      </c>
      <c r="H222" s="5" t="s">
        <v>1810</v>
      </c>
      <c r="Q222" s="5" t="s">
        <v>470</v>
      </c>
      <c r="R222" s="5" t="s">
        <v>527</v>
      </c>
      <c r="S222" s="5">
        <v>10220111</v>
      </c>
      <c r="T222" s="5" t="s">
        <v>528</v>
      </c>
      <c r="U222" s="5">
        <v>2987.17</v>
      </c>
      <c r="V222" s="5">
        <v>2987.17</v>
      </c>
      <c r="W222" s="5" t="s">
        <v>512</v>
      </c>
      <c r="X222" s="6">
        <v>46082</v>
      </c>
      <c r="Y222" s="6">
        <v>46203</v>
      </c>
      <c r="Z222" s="6">
        <v>46082</v>
      </c>
      <c r="AA222" s="6">
        <v>46163</v>
      </c>
      <c r="AB222" s="5" t="s">
        <v>478</v>
      </c>
      <c r="AC222" s="5" t="s">
        <v>478</v>
      </c>
      <c r="AD222" s="5" t="s">
        <v>1811</v>
      </c>
      <c r="AE222" s="5" t="s">
        <v>1812</v>
      </c>
      <c r="AF222" s="11">
        <v>46077</v>
      </c>
      <c r="AG222" s="5" t="s">
        <v>1813</v>
      </c>
      <c r="AH222" s="11">
        <v>46118</v>
      </c>
      <c r="AI222" s="5" t="s">
        <v>1814</v>
      </c>
      <c r="AJ222" s="5" t="s">
        <v>1815</v>
      </c>
    </row>
    <row r="223" spans="1:41" ht="15.75" customHeight="1" x14ac:dyDescent="0.3">
      <c r="A223" s="5">
        <v>216</v>
      </c>
      <c r="B223" s="5" t="s">
        <v>1816</v>
      </c>
      <c r="C223" s="5" t="s">
        <v>1299</v>
      </c>
      <c r="D223" s="5" t="s">
        <v>1809</v>
      </c>
      <c r="H223" s="5" t="s">
        <v>1810</v>
      </c>
      <c r="Q223" s="5" t="s">
        <v>470</v>
      </c>
      <c r="R223" s="5" t="s">
        <v>649</v>
      </c>
      <c r="S223" s="5">
        <v>10220106</v>
      </c>
      <c r="T223" s="5" t="s">
        <v>651</v>
      </c>
      <c r="U223" s="5">
        <v>0</v>
      </c>
      <c r="V223" s="5">
        <v>0</v>
      </c>
      <c r="W223" s="5" t="s">
        <v>512</v>
      </c>
      <c r="X223" s="6">
        <v>46082</v>
      </c>
      <c r="Y223" s="6">
        <v>46203</v>
      </c>
      <c r="Z223" s="6">
        <v>46082</v>
      </c>
      <c r="AA223" s="6">
        <v>46163</v>
      </c>
      <c r="AB223" s="5" t="s">
        <v>478</v>
      </c>
      <c r="AC223" s="5" t="s">
        <v>478</v>
      </c>
      <c r="AD223" s="5" t="s">
        <v>1811</v>
      </c>
      <c r="AE223" s="5" t="s">
        <v>341</v>
      </c>
      <c r="AG223" s="5" t="s">
        <v>341</v>
      </c>
      <c r="AI223" s="5" t="s">
        <v>1817</v>
      </c>
      <c r="AJ223" s="5" t="s">
        <v>1818</v>
      </c>
      <c r="AM223" s="5" t="s">
        <v>1819</v>
      </c>
    </row>
    <row r="224" spans="1:41" ht="15.75" customHeight="1" x14ac:dyDescent="0.3">
      <c r="A224" s="5">
        <v>217</v>
      </c>
      <c r="B224" s="5" t="s">
        <v>1820</v>
      </c>
      <c r="C224" s="5" t="s">
        <v>1299</v>
      </c>
      <c r="D224" s="5" t="s">
        <v>1809</v>
      </c>
      <c r="H224" s="5" t="s">
        <v>1810</v>
      </c>
      <c r="Q224" s="5" t="s">
        <v>470</v>
      </c>
      <c r="R224" s="5" t="s">
        <v>588</v>
      </c>
      <c r="S224" s="5">
        <v>10220108</v>
      </c>
      <c r="T224" s="5" t="s">
        <v>590</v>
      </c>
      <c r="U224" s="5">
        <v>0</v>
      </c>
      <c r="V224" s="5">
        <v>0</v>
      </c>
      <c r="W224" s="5" t="s">
        <v>512</v>
      </c>
      <c r="X224" s="6">
        <v>46082</v>
      </c>
      <c r="Y224" s="6">
        <v>46203</v>
      </c>
      <c r="Z224" s="6">
        <v>46082</v>
      </c>
      <c r="AA224" s="6">
        <v>46163</v>
      </c>
      <c r="AB224" s="5" t="s">
        <v>478</v>
      </c>
      <c r="AC224" s="5" t="s">
        <v>478</v>
      </c>
      <c r="AD224" s="5" t="s">
        <v>1811</v>
      </c>
      <c r="AE224" s="5" t="s">
        <v>341</v>
      </c>
      <c r="AG224" s="5" t="s">
        <v>341</v>
      </c>
      <c r="AI224" s="5" t="s">
        <v>1821</v>
      </c>
      <c r="AJ224" s="5" t="s">
        <v>1822</v>
      </c>
      <c r="AM224" s="5" t="s">
        <v>1819</v>
      </c>
    </row>
    <row r="225" spans="1:39" ht="15.75" customHeight="1" x14ac:dyDescent="0.3">
      <c r="A225" s="5">
        <v>218</v>
      </c>
      <c r="B225" s="5" t="s">
        <v>1823</v>
      </c>
      <c r="C225" s="5" t="s">
        <v>1299</v>
      </c>
      <c r="D225" s="5" t="s">
        <v>1809</v>
      </c>
      <c r="H225" s="5" t="s">
        <v>1810</v>
      </c>
      <c r="Q225" s="5" t="s">
        <v>470</v>
      </c>
      <c r="R225" s="5" t="s">
        <v>471</v>
      </c>
      <c r="S225" s="5">
        <v>10220110</v>
      </c>
      <c r="T225" s="5" t="s">
        <v>472</v>
      </c>
      <c r="U225" s="5">
        <v>932.2</v>
      </c>
      <c r="V225" s="5">
        <v>932.2</v>
      </c>
      <c r="W225" s="5" t="s">
        <v>512</v>
      </c>
      <c r="X225" s="6">
        <v>46082</v>
      </c>
      <c r="Y225" s="6">
        <v>46203</v>
      </c>
      <c r="Z225" s="6">
        <v>46082</v>
      </c>
      <c r="AA225" s="6">
        <v>46163</v>
      </c>
      <c r="AB225" s="5" t="s">
        <v>478</v>
      </c>
      <c r="AC225" s="5" t="s">
        <v>478</v>
      </c>
      <c r="AD225" s="5" t="s">
        <v>1811</v>
      </c>
      <c r="AE225" s="5" t="s">
        <v>1824</v>
      </c>
      <c r="AF225" s="11">
        <v>46077</v>
      </c>
      <c r="AG225" s="5" t="s">
        <v>1825</v>
      </c>
      <c r="AH225" s="11">
        <v>46090</v>
      </c>
      <c r="AI225" s="5" t="s">
        <v>1826</v>
      </c>
      <c r="AJ225" s="5" t="s">
        <v>1827</v>
      </c>
    </row>
    <row r="226" spans="1:39" ht="15.75" customHeight="1" x14ac:dyDescent="0.3">
      <c r="A226" s="5">
        <v>219</v>
      </c>
      <c r="B226" s="5" t="s">
        <v>1828</v>
      </c>
      <c r="C226" s="5" t="s">
        <v>1299</v>
      </c>
      <c r="D226" s="5" t="s">
        <v>1809</v>
      </c>
      <c r="H226" s="5" t="s">
        <v>1810</v>
      </c>
      <c r="Q226" s="5" t="s">
        <v>470</v>
      </c>
      <c r="R226" s="5" t="s">
        <v>664</v>
      </c>
      <c r="S226" s="5">
        <v>70160101</v>
      </c>
      <c r="T226" s="5" t="s">
        <v>665</v>
      </c>
      <c r="U226" s="5">
        <v>6081.13</v>
      </c>
      <c r="V226" s="5">
        <v>6081.13</v>
      </c>
      <c r="W226" s="5" t="s">
        <v>512</v>
      </c>
      <c r="X226" s="6">
        <v>46082</v>
      </c>
      <c r="Y226" s="6">
        <v>46203</v>
      </c>
      <c r="Z226" s="6">
        <v>46082</v>
      </c>
      <c r="AA226" s="6">
        <v>46163</v>
      </c>
      <c r="AB226" s="5" t="s">
        <v>478</v>
      </c>
      <c r="AC226" s="5" t="s">
        <v>531</v>
      </c>
      <c r="AD226" s="5" t="s">
        <v>1811</v>
      </c>
      <c r="AE226" s="5" t="s">
        <v>1829</v>
      </c>
      <c r="AF226" s="11">
        <v>46077</v>
      </c>
      <c r="AG226" s="5" t="s">
        <v>1830</v>
      </c>
      <c r="AH226" s="5" t="s">
        <v>1831</v>
      </c>
      <c r="AI226" s="5" t="s">
        <v>1832</v>
      </c>
      <c r="AJ226" s="5" t="s">
        <v>1833</v>
      </c>
      <c r="AM226" s="5" t="s">
        <v>1834</v>
      </c>
    </row>
    <row r="227" spans="1:39" ht="15.75" customHeight="1" x14ac:dyDescent="0.3">
      <c r="A227" s="5">
        <v>220</v>
      </c>
      <c r="B227" s="5" t="s">
        <v>1835</v>
      </c>
      <c r="C227" s="5" t="s">
        <v>1299</v>
      </c>
      <c r="D227" s="5" t="s">
        <v>1809</v>
      </c>
      <c r="H227" s="5" t="s">
        <v>1810</v>
      </c>
      <c r="Q227" s="5" t="s">
        <v>470</v>
      </c>
      <c r="R227" s="5" t="s">
        <v>726</v>
      </c>
      <c r="S227" s="5">
        <v>70190101</v>
      </c>
      <c r="T227" s="5" t="s">
        <v>727</v>
      </c>
      <c r="U227" s="5">
        <v>1122.77</v>
      </c>
      <c r="V227" s="5">
        <v>1122.77</v>
      </c>
      <c r="W227" s="5" t="s">
        <v>512</v>
      </c>
      <c r="X227" s="6">
        <v>46082</v>
      </c>
      <c r="Y227" s="6">
        <v>46203</v>
      </c>
      <c r="Z227" s="6">
        <v>46082</v>
      </c>
      <c r="AA227" s="6">
        <v>46163</v>
      </c>
      <c r="AB227" s="5" t="s">
        <v>478</v>
      </c>
      <c r="AC227" s="5" t="s">
        <v>478</v>
      </c>
      <c r="AD227" s="5" t="s">
        <v>1811</v>
      </c>
      <c r="AE227" s="5" t="s">
        <v>1836</v>
      </c>
      <c r="AF227" s="11">
        <v>46077</v>
      </c>
      <c r="AG227" s="5" t="s">
        <v>1837</v>
      </c>
      <c r="AH227" s="11">
        <v>46091</v>
      </c>
      <c r="AI227" s="5" t="s">
        <v>1838</v>
      </c>
      <c r="AJ227" s="5" t="s">
        <v>1839</v>
      </c>
    </row>
    <row r="228" spans="1:39" ht="15.75" customHeight="1" x14ac:dyDescent="0.3">
      <c r="A228" s="5">
        <v>221</v>
      </c>
      <c r="B228" s="5" t="s">
        <v>1840</v>
      </c>
      <c r="C228" s="5" t="s">
        <v>1299</v>
      </c>
      <c r="D228" s="5" t="s">
        <v>1809</v>
      </c>
      <c r="H228" s="5" t="s">
        <v>1810</v>
      </c>
      <c r="Q228" s="5" t="s">
        <v>470</v>
      </c>
      <c r="R228" s="5" t="s">
        <v>684</v>
      </c>
      <c r="S228" s="5">
        <v>70120201</v>
      </c>
      <c r="T228" s="5" t="s">
        <v>686</v>
      </c>
      <c r="U228" s="5">
        <v>20826.8</v>
      </c>
      <c r="V228" s="5">
        <v>20826.8</v>
      </c>
      <c r="W228" s="5" t="s">
        <v>512</v>
      </c>
      <c r="X228" s="6">
        <v>46082</v>
      </c>
      <c r="Y228" s="6">
        <v>46203</v>
      </c>
      <c r="Z228" s="6">
        <v>46082</v>
      </c>
      <c r="AA228" s="6">
        <v>46163</v>
      </c>
      <c r="AB228" s="5" t="s">
        <v>478</v>
      </c>
      <c r="AC228" s="5" t="s">
        <v>478</v>
      </c>
      <c r="AD228" s="5" t="s">
        <v>1811</v>
      </c>
      <c r="AE228" s="5" t="s">
        <v>1841</v>
      </c>
      <c r="AF228" s="11">
        <v>46077</v>
      </c>
      <c r="AG228" s="5" t="s">
        <v>1842</v>
      </c>
      <c r="AH228" s="5" t="s">
        <v>1831</v>
      </c>
      <c r="AI228" s="5" t="s">
        <v>1843</v>
      </c>
      <c r="AJ228" s="5" t="s">
        <v>1844</v>
      </c>
    </row>
    <row r="229" spans="1:39" ht="15.75" customHeight="1" x14ac:dyDescent="0.3">
      <c r="A229" s="5">
        <v>222</v>
      </c>
      <c r="B229" s="5" t="s">
        <v>1845</v>
      </c>
      <c r="C229" s="5" t="s">
        <v>1299</v>
      </c>
      <c r="D229" s="5" t="s">
        <v>1809</v>
      </c>
      <c r="H229" s="5" t="s">
        <v>1810</v>
      </c>
      <c r="Q229" s="5" t="s">
        <v>470</v>
      </c>
      <c r="R229" s="5" t="s">
        <v>493</v>
      </c>
      <c r="S229" s="5">
        <v>70170101</v>
      </c>
      <c r="T229" s="5" t="s">
        <v>494</v>
      </c>
      <c r="U229" s="5">
        <v>13060.63</v>
      </c>
      <c r="V229" s="5">
        <v>13060.63</v>
      </c>
      <c r="W229" s="5" t="s">
        <v>512</v>
      </c>
      <c r="X229" s="6">
        <v>46082</v>
      </c>
      <c r="Y229" s="6">
        <v>46203</v>
      </c>
      <c r="Z229" s="6">
        <v>46082</v>
      </c>
      <c r="AA229" s="6">
        <v>46163</v>
      </c>
      <c r="AB229" s="5" t="s">
        <v>478</v>
      </c>
      <c r="AC229" s="5" t="s">
        <v>478</v>
      </c>
      <c r="AD229" s="5" t="s">
        <v>1811</v>
      </c>
      <c r="AE229" s="5" t="s">
        <v>1846</v>
      </c>
      <c r="AF229" s="11">
        <v>46077</v>
      </c>
      <c r="AG229" s="5" t="s">
        <v>1847</v>
      </c>
      <c r="AH229" s="5" t="s">
        <v>1831</v>
      </c>
      <c r="AI229" s="5" t="s">
        <v>1848</v>
      </c>
      <c r="AJ229" s="5" t="s">
        <v>1849</v>
      </c>
    </row>
    <row r="230" spans="1:39" ht="15.75" customHeight="1" x14ac:dyDescent="0.3">
      <c r="A230" s="5">
        <v>223</v>
      </c>
      <c r="B230" s="5" t="s">
        <v>1850</v>
      </c>
      <c r="C230" s="5" t="s">
        <v>1299</v>
      </c>
      <c r="D230" s="5" t="s">
        <v>1809</v>
      </c>
      <c r="H230" s="5" t="s">
        <v>1810</v>
      </c>
      <c r="Q230" s="5" t="s">
        <v>470</v>
      </c>
      <c r="R230" s="5" t="s">
        <v>510</v>
      </c>
      <c r="S230" s="5">
        <v>70180103</v>
      </c>
      <c r="T230" s="5" t="s">
        <v>511</v>
      </c>
      <c r="U230" s="5">
        <v>11051.68</v>
      </c>
      <c r="V230" s="5">
        <v>11051.68</v>
      </c>
      <c r="W230" s="5" t="s">
        <v>512</v>
      </c>
      <c r="X230" s="6">
        <v>46082</v>
      </c>
      <c r="Y230" s="6">
        <v>46203</v>
      </c>
      <c r="Z230" s="6">
        <v>46082</v>
      </c>
      <c r="AA230" s="6">
        <v>46163</v>
      </c>
      <c r="AB230" s="5" t="s">
        <v>478</v>
      </c>
      <c r="AC230" s="5" t="s">
        <v>478</v>
      </c>
      <c r="AD230" s="5" t="s">
        <v>1811</v>
      </c>
      <c r="AE230" s="5" t="s">
        <v>1851</v>
      </c>
      <c r="AF230" s="11">
        <v>46077</v>
      </c>
      <c r="AG230" s="5" t="s">
        <v>1852</v>
      </c>
      <c r="AH230" s="5" t="s">
        <v>1831</v>
      </c>
      <c r="AI230" s="5" t="s">
        <v>1853</v>
      </c>
      <c r="AJ230" s="5" t="s">
        <v>1854</v>
      </c>
    </row>
    <row r="231" spans="1:39" ht="15.75" customHeight="1" x14ac:dyDescent="0.3">
      <c r="A231" s="5">
        <v>224</v>
      </c>
      <c r="B231" s="5" t="s">
        <v>1855</v>
      </c>
      <c r="C231" s="5" t="s">
        <v>1299</v>
      </c>
      <c r="D231" s="5" t="s">
        <v>1809</v>
      </c>
      <c r="H231" s="5" t="s">
        <v>1810</v>
      </c>
      <c r="Q231" s="5" t="s">
        <v>470</v>
      </c>
      <c r="R231" s="5" t="s">
        <v>538</v>
      </c>
      <c r="S231" s="5">
        <v>70150101</v>
      </c>
      <c r="T231" s="5" t="s">
        <v>540</v>
      </c>
      <c r="U231" s="5">
        <v>14094.51</v>
      </c>
      <c r="V231" s="5">
        <v>14094.51</v>
      </c>
      <c r="W231" s="5" t="s">
        <v>512</v>
      </c>
      <c r="X231" s="6">
        <v>46082</v>
      </c>
      <c r="Y231" s="6">
        <v>46203</v>
      </c>
      <c r="Z231" s="6">
        <v>46082</v>
      </c>
      <c r="AA231" s="6">
        <v>46163</v>
      </c>
      <c r="AB231" s="5" t="s">
        <v>478</v>
      </c>
      <c r="AC231" s="5" t="s">
        <v>478</v>
      </c>
      <c r="AD231" s="5" t="s">
        <v>1811</v>
      </c>
      <c r="AE231" s="5" t="s">
        <v>1856</v>
      </c>
      <c r="AF231" s="11">
        <v>46077</v>
      </c>
      <c r="AG231" s="5" t="s">
        <v>1857</v>
      </c>
      <c r="AH231" s="5" t="s">
        <v>1831</v>
      </c>
      <c r="AI231" s="5" t="s">
        <v>1858</v>
      </c>
      <c r="AJ231" s="5" t="s">
        <v>1859</v>
      </c>
    </row>
    <row r="232" spans="1:39" ht="15.75" customHeight="1" x14ac:dyDescent="0.3">
      <c r="A232" s="5">
        <v>225</v>
      </c>
      <c r="B232" s="5" t="s">
        <v>1860</v>
      </c>
      <c r="C232" s="5" t="s">
        <v>1299</v>
      </c>
      <c r="D232" s="5" t="s">
        <v>1809</v>
      </c>
      <c r="H232" s="5" t="s">
        <v>1861</v>
      </c>
      <c r="Q232" s="5" t="s">
        <v>470</v>
      </c>
      <c r="R232" s="5" t="s">
        <v>774</v>
      </c>
      <c r="S232" s="5">
        <v>70110103</v>
      </c>
      <c r="T232" s="5" t="s">
        <v>877</v>
      </c>
      <c r="U232" s="5">
        <v>3029.41</v>
      </c>
      <c r="V232" s="5">
        <v>3029.41</v>
      </c>
      <c r="W232" s="5" t="s">
        <v>512</v>
      </c>
      <c r="X232" s="6">
        <v>46082</v>
      </c>
      <c r="Y232" s="6">
        <v>46203</v>
      </c>
      <c r="Z232" s="6">
        <v>46082</v>
      </c>
      <c r="AA232" s="6">
        <v>46163</v>
      </c>
      <c r="AB232" s="5" t="s">
        <v>478</v>
      </c>
      <c r="AC232" s="5" t="s">
        <v>478</v>
      </c>
      <c r="AD232" s="5" t="s">
        <v>1811</v>
      </c>
      <c r="AE232" s="5" t="s">
        <v>1862</v>
      </c>
      <c r="AF232" s="11">
        <v>46077</v>
      </c>
      <c r="AG232" s="5" t="s">
        <v>1863</v>
      </c>
      <c r="AH232" s="11">
        <v>46091</v>
      </c>
      <c r="AI232" s="5" t="s">
        <v>1864</v>
      </c>
      <c r="AJ232" s="5" t="s">
        <v>1865</v>
      </c>
    </row>
    <row r="233" spans="1:39" ht="15.75" customHeight="1" x14ac:dyDescent="0.3">
      <c r="A233" s="5">
        <v>226</v>
      </c>
      <c r="B233" s="5" t="s">
        <v>1866</v>
      </c>
      <c r="C233" s="5" t="s">
        <v>1299</v>
      </c>
      <c r="D233" s="5" t="s">
        <v>1809</v>
      </c>
      <c r="H233" s="5" t="s">
        <v>1867</v>
      </c>
      <c r="Q233" s="5" t="s">
        <v>470</v>
      </c>
      <c r="R233" s="5" t="s">
        <v>774</v>
      </c>
      <c r="S233" s="5">
        <v>70110107</v>
      </c>
      <c r="T233" s="5" t="s">
        <v>896</v>
      </c>
      <c r="U233" s="5">
        <v>7245.2</v>
      </c>
      <c r="V233" s="5">
        <v>7245.2</v>
      </c>
      <c r="W233" s="5" t="s">
        <v>512</v>
      </c>
      <c r="X233" s="6">
        <v>46082</v>
      </c>
      <c r="Y233" s="6">
        <v>46203</v>
      </c>
      <c r="Z233" s="6">
        <v>46082</v>
      </c>
      <c r="AA233" s="6">
        <v>46163</v>
      </c>
      <c r="AB233" s="5" t="s">
        <v>478</v>
      </c>
      <c r="AC233" s="5" t="s">
        <v>478</v>
      </c>
      <c r="AD233" s="5" t="s">
        <v>1811</v>
      </c>
      <c r="AE233" s="5" t="s">
        <v>1868</v>
      </c>
      <c r="AF233" s="11">
        <v>46077</v>
      </c>
      <c r="AG233" s="5" t="s">
        <v>1869</v>
      </c>
      <c r="AH233" s="11">
        <v>46091</v>
      </c>
      <c r="AI233" s="5" t="s">
        <v>1870</v>
      </c>
      <c r="AJ233" s="5" t="s">
        <v>1871</v>
      </c>
    </row>
    <row r="234" spans="1:39" ht="15.75" customHeight="1" x14ac:dyDescent="0.3">
      <c r="A234" s="5">
        <v>227</v>
      </c>
      <c r="B234" s="5" t="s">
        <v>1872</v>
      </c>
      <c r="C234" s="5" t="s">
        <v>1299</v>
      </c>
      <c r="D234" s="5" t="s">
        <v>1809</v>
      </c>
      <c r="H234" s="5" t="s">
        <v>1873</v>
      </c>
      <c r="Q234" s="5" t="s">
        <v>470</v>
      </c>
      <c r="R234" s="5" t="s">
        <v>774</v>
      </c>
      <c r="S234" s="5">
        <v>70110101</v>
      </c>
      <c r="T234" s="5" t="s">
        <v>775</v>
      </c>
      <c r="U234" s="5">
        <v>0</v>
      </c>
      <c r="V234" s="5">
        <v>0</v>
      </c>
      <c r="W234" s="5" t="s">
        <v>512</v>
      </c>
      <c r="X234" s="6">
        <v>46082</v>
      </c>
      <c r="Y234" s="6">
        <v>46203</v>
      </c>
      <c r="Z234" s="6">
        <v>46082</v>
      </c>
      <c r="AA234" s="6">
        <v>46163</v>
      </c>
      <c r="AB234" s="5" t="s">
        <v>478</v>
      </c>
      <c r="AC234" s="5" t="s">
        <v>478</v>
      </c>
      <c r="AD234" s="5" t="s">
        <v>1811</v>
      </c>
      <c r="AE234" s="5" t="s">
        <v>341</v>
      </c>
      <c r="AG234" s="5" t="s">
        <v>341</v>
      </c>
      <c r="AI234" s="5" t="s">
        <v>1874</v>
      </c>
      <c r="AJ234" s="5" t="s">
        <v>1875</v>
      </c>
      <c r="AM234" s="5" t="s">
        <v>1819</v>
      </c>
    </row>
    <row r="235" spans="1:39" ht="15.75" customHeight="1" x14ac:dyDescent="0.3">
      <c r="A235" s="5">
        <v>228</v>
      </c>
      <c r="B235" s="5" t="s">
        <v>1876</v>
      </c>
      <c r="C235" s="5" t="s">
        <v>1299</v>
      </c>
      <c r="D235" s="5" t="s">
        <v>1809</v>
      </c>
      <c r="H235" s="5" t="s">
        <v>1877</v>
      </c>
      <c r="Q235" s="5" t="s">
        <v>470</v>
      </c>
      <c r="R235" s="5" t="s">
        <v>559</v>
      </c>
      <c r="S235" s="5">
        <v>10110205</v>
      </c>
      <c r="T235" s="5" t="s">
        <v>850</v>
      </c>
      <c r="U235" s="5">
        <v>0</v>
      </c>
      <c r="V235" s="5">
        <v>0</v>
      </c>
      <c r="W235" s="5" t="s">
        <v>512</v>
      </c>
      <c r="X235" s="6">
        <v>46082</v>
      </c>
      <c r="Y235" s="6">
        <v>46203</v>
      </c>
      <c r="Z235" s="6">
        <v>46082</v>
      </c>
      <c r="AA235" s="6">
        <v>46163</v>
      </c>
      <c r="AB235" s="5" t="s">
        <v>478</v>
      </c>
      <c r="AC235" s="5" t="s">
        <v>478</v>
      </c>
      <c r="AD235" s="5" t="s">
        <v>1811</v>
      </c>
      <c r="AE235" s="5" t="s">
        <v>341</v>
      </c>
      <c r="AG235" s="5" t="s">
        <v>341</v>
      </c>
      <c r="AI235" s="5" t="s">
        <v>1878</v>
      </c>
      <c r="AJ235" s="5" t="s">
        <v>1879</v>
      </c>
      <c r="AM235" s="5" t="s">
        <v>1819</v>
      </c>
    </row>
    <row r="236" spans="1:39" ht="15.75" customHeight="1" x14ac:dyDescent="0.3">
      <c r="A236" s="5">
        <v>229</v>
      </c>
      <c r="B236" s="5" t="s">
        <v>1880</v>
      </c>
      <c r="C236" s="5" t="s">
        <v>1299</v>
      </c>
      <c r="D236" s="5" t="s">
        <v>1809</v>
      </c>
      <c r="H236" s="5" t="s">
        <v>1881</v>
      </c>
      <c r="Q236" s="5" t="s">
        <v>470</v>
      </c>
      <c r="R236" s="5" t="s">
        <v>559</v>
      </c>
      <c r="S236" s="5">
        <v>10110201</v>
      </c>
      <c r="T236" s="5" t="s">
        <v>614</v>
      </c>
      <c r="U236" s="5">
        <v>25105.68</v>
      </c>
      <c r="V236" s="5">
        <v>25105.68</v>
      </c>
      <c r="W236" s="5" t="s">
        <v>512</v>
      </c>
      <c r="X236" s="6">
        <v>46082</v>
      </c>
      <c r="Y236" s="6">
        <v>46203</v>
      </c>
      <c r="Z236" s="6">
        <v>46082</v>
      </c>
      <c r="AA236" s="6">
        <v>46163</v>
      </c>
      <c r="AB236" s="5" t="s">
        <v>478</v>
      </c>
      <c r="AC236" s="5" t="s">
        <v>478</v>
      </c>
      <c r="AD236" s="5" t="s">
        <v>1811</v>
      </c>
      <c r="AE236" s="5" t="s">
        <v>1882</v>
      </c>
      <c r="AF236" s="11">
        <v>46079</v>
      </c>
      <c r="AG236" s="5" t="s">
        <v>1883</v>
      </c>
      <c r="AH236" s="5" t="s">
        <v>1884</v>
      </c>
      <c r="AI236" s="5" t="s">
        <v>1885</v>
      </c>
      <c r="AJ236" s="5" t="s">
        <v>1886</v>
      </c>
    </row>
    <row r="237" spans="1:39" ht="15.75" customHeight="1" x14ac:dyDescent="0.3">
      <c r="A237" s="5">
        <v>230</v>
      </c>
      <c r="B237" s="5" t="s">
        <v>1887</v>
      </c>
      <c r="C237" s="5" t="s">
        <v>1299</v>
      </c>
      <c r="D237" s="5" t="s">
        <v>1809</v>
      </c>
      <c r="H237" s="5" t="s">
        <v>1888</v>
      </c>
      <c r="Q237" s="5" t="s">
        <v>470</v>
      </c>
      <c r="R237" s="5" t="s">
        <v>559</v>
      </c>
      <c r="S237" s="5">
        <v>10110204</v>
      </c>
      <c r="T237" s="5" t="s">
        <v>561</v>
      </c>
      <c r="U237" s="5">
        <v>0</v>
      </c>
      <c r="V237" s="5">
        <v>0</v>
      </c>
      <c r="W237" s="5" t="s">
        <v>512</v>
      </c>
      <c r="X237" s="6">
        <v>46082</v>
      </c>
      <c r="Y237" s="6">
        <v>46203</v>
      </c>
      <c r="Z237" s="6">
        <v>46082</v>
      </c>
      <c r="AA237" s="6">
        <v>46163</v>
      </c>
      <c r="AB237" s="5" t="s">
        <v>478</v>
      </c>
      <c r="AC237" s="5" t="s">
        <v>478</v>
      </c>
      <c r="AD237" s="5" t="s">
        <v>1811</v>
      </c>
      <c r="AE237" s="5" t="s">
        <v>341</v>
      </c>
      <c r="AG237" s="5" t="s">
        <v>341</v>
      </c>
      <c r="AI237" s="5" t="s">
        <v>1889</v>
      </c>
      <c r="AJ237" s="5" t="s">
        <v>1890</v>
      </c>
      <c r="AM237" s="5" t="s">
        <v>1819</v>
      </c>
    </row>
    <row r="238" spans="1:39" ht="15.75" customHeight="1" x14ac:dyDescent="0.3">
      <c r="A238" s="5">
        <v>231</v>
      </c>
      <c r="B238" s="5" t="s">
        <v>1891</v>
      </c>
      <c r="C238" s="5" t="s">
        <v>1299</v>
      </c>
      <c r="D238" s="5" t="s">
        <v>533</v>
      </c>
      <c r="F238" s="5" t="s">
        <v>534</v>
      </c>
      <c r="G238" s="5" t="s">
        <v>535</v>
      </c>
      <c r="H238" s="5" t="s">
        <v>1892</v>
      </c>
      <c r="Q238" s="5" t="s">
        <v>470</v>
      </c>
      <c r="R238" s="5" t="s">
        <v>527</v>
      </c>
      <c r="S238" s="5">
        <v>10220111</v>
      </c>
      <c r="T238" s="5" t="s">
        <v>528</v>
      </c>
      <c r="U238" s="5">
        <v>40000</v>
      </c>
      <c r="V238" s="5">
        <v>25690.39</v>
      </c>
      <c r="W238" s="5" t="s">
        <v>474</v>
      </c>
      <c r="X238" s="6">
        <v>46174</v>
      </c>
      <c r="Y238" s="6">
        <v>46265</v>
      </c>
      <c r="Z238" s="6">
        <v>46208</v>
      </c>
      <c r="AA238" s="10"/>
      <c r="AB238" s="5" t="s">
        <v>478</v>
      </c>
      <c r="AD238" s="5" t="s">
        <v>542</v>
      </c>
      <c r="AE238" s="5" t="s">
        <v>1893</v>
      </c>
      <c r="AF238" s="11">
        <v>46190</v>
      </c>
      <c r="AG238" s="5" t="s">
        <v>1894</v>
      </c>
      <c r="AH238" s="5" t="s">
        <v>1895</v>
      </c>
      <c r="AI238" s="5" t="s">
        <v>1896</v>
      </c>
      <c r="AJ238" s="5" t="s">
        <v>1897</v>
      </c>
      <c r="AM238" s="5" t="s">
        <v>1898</v>
      </c>
    </row>
    <row r="239" spans="1:39" ht="15.75" customHeight="1" x14ac:dyDescent="0.3">
      <c r="A239" s="5">
        <v>232</v>
      </c>
      <c r="B239" s="5" t="s">
        <v>1899</v>
      </c>
      <c r="C239" s="5" t="s">
        <v>1299</v>
      </c>
      <c r="D239" s="5" t="s">
        <v>533</v>
      </c>
      <c r="F239" s="5" t="s">
        <v>534</v>
      </c>
      <c r="G239" s="5" t="s">
        <v>535</v>
      </c>
      <c r="H239" s="5" t="s">
        <v>1892</v>
      </c>
      <c r="Q239" s="5" t="s">
        <v>470</v>
      </c>
      <c r="R239" s="5" t="s">
        <v>649</v>
      </c>
      <c r="S239" s="5">
        <v>10220106</v>
      </c>
      <c r="T239" s="5" t="s">
        <v>651</v>
      </c>
      <c r="U239" s="5">
        <v>40000</v>
      </c>
      <c r="V239" s="5">
        <v>70279.009999999995</v>
      </c>
      <c r="W239" s="5" t="s">
        <v>474</v>
      </c>
      <c r="X239" s="6">
        <v>46150</v>
      </c>
      <c r="Y239" s="6">
        <v>46265</v>
      </c>
      <c r="Z239" s="6">
        <v>46161</v>
      </c>
      <c r="AA239" s="10"/>
      <c r="AB239" s="5" t="s">
        <v>478</v>
      </c>
      <c r="AD239" s="5" t="s">
        <v>542</v>
      </c>
      <c r="AE239" s="5" t="s">
        <v>1900</v>
      </c>
      <c r="AF239" s="5" t="s">
        <v>1901</v>
      </c>
      <c r="AG239" s="5" t="s">
        <v>1902</v>
      </c>
      <c r="AH239" s="11">
        <v>46188</v>
      </c>
      <c r="AI239" s="5" t="s">
        <v>1903</v>
      </c>
      <c r="AJ239" s="5" t="s">
        <v>1904</v>
      </c>
      <c r="AM239" s="5" t="s">
        <v>1905</v>
      </c>
    </row>
    <row r="240" spans="1:39" ht="15.75" customHeight="1" x14ac:dyDescent="0.3">
      <c r="A240" s="5">
        <v>233</v>
      </c>
      <c r="B240" s="5" t="s">
        <v>1906</v>
      </c>
      <c r="C240" s="5" t="s">
        <v>1299</v>
      </c>
      <c r="D240" s="5" t="s">
        <v>533</v>
      </c>
      <c r="F240" s="5" t="s">
        <v>534</v>
      </c>
      <c r="G240" s="5" t="s">
        <v>535</v>
      </c>
      <c r="H240" s="5" t="s">
        <v>1892</v>
      </c>
      <c r="Q240" s="5" t="s">
        <v>470</v>
      </c>
      <c r="R240" s="5" t="s">
        <v>588</v>
      </c>
      <c r="S240" s="5">
        <v>10220108</v>
      </c>
      <c r="T240" s="5" t="s">
        <v>590</v>
      </c>
      <c r="U240" s="5">
        <v>40000</v>
      </c>
      <c r="V240" s="5" t="s">
        <v>1907</v>
      </c>
      <c r="W240" s="5" t="s">
        <v>474</v>
      </c>
      <c r="X240" s="6">
        <v>46113</v>
      </c>
      <c r="Y240" s="6">
        <v>46265</v>
      </c>
      <c r="Z240" s="6">
        <v>46172</v>
      </c>
      <c r="AA240" s="10"/>
      <c r="AB240" s="5" t="s">
        <v>478</v>
      </c>
      <c r="AD240" s="5" t="s">
        <v>542</v>
      </c>
      <c r="AE240" s="5" t="s">
        <v>1908</v>
      </c>
      <c r="AF240" s="11">
        <v>46147</v>
      </c>
      <c r="AG240" s="5" t="s">
        <v>1909</v>
      </c>
      <c r="AH240" s="5" t="s">
        <v>1910</v>
      </c>
      <c r="AI240" s="5" t="s">
        <v>1911</v>
      </c>
      <c r="AJ240" s="5" t="s">
        <v>1912</v>
      </c>
      <c r="AM240" s="5" t="s">
        <v>1913</v>
      </c>
    </row>
    <row r="241" spans="1:39" ht="15.75" customHeight="1" x14ac:dyDescent="0.3">
      <c r="A241" s="5">
        <v>234</v>
      </c>
      <c r="B241" s="5" t="s">
        <v>1914</v>
      </c>
      <c r="C241" s="5" t="s">
        <v>1299</v>
      </c>
      <c r="D241" s="5" t="s">
        <v>533</v>
      </c>
      <c r="F241" s="5" t="s">
        <v>534</v>
      </c>
      <c r="G241" s="5" t="s">
        <v>535</v>
      </c>
      <c r="H241" s="5" t="s">
        <v>1892</v>
      </c>
      <c r="Q241" s="5" t="s">
        <v>470</v>
      </c>
      <c r="R241" s="5" t="s">
        <v>471</v>
      </c>
      <c r="S241" s="5">
        <v>10220110</v>
      </c>
      <c r="T241" s="5" t="s">
        <v>472</v>
      </c>
      <c r="U241" s="5">
        <v>40000</v>
      </c>
      <c r="V241" s="5">
        <v>32399.99</v>
      </c>
      <c r="W241" s="5" t="s">
        <v>474</v>
      </c>
      <c r="X241" s="6">
        <v>46188</v>
      </c>
      <c r="Y241" s="6">
        <v>46265</v>
      </c>
      <c r="Z241" s="10"/>
      <c r="AA241" s="10"/>
      <c r="AB241" s="5" t="s">
        <v>478</v>
      </c>
      <c r="AD241" s="5" t="s">
        <v>542</v>
      </c>
      <c r="AE241" s="5" t="s">
        <v>1915</v>
      </c>
      <c r="AF241" s="5" t="s">
        <v>1916</v>
      </c>
      <c r="AG241" s="5" t="s">
        <v>1917</v>
      </c>
      <c r="AH241" s="5" t="s">
        <v>1918</v>
      </c>
      <c r="AI241" s="5" t="s">
        <v>1919</v>
      </c>
      <c r="AJ241" s="5" t="s">
        <v>1920</v>
      </c>
      <c r="AK241" s="11">
        <v>46246</v>
      </c>
      <c r="AM241" s="5" t="s">
        <v>1921</v>
      </c>
    </row>
    <row r="242" spans="1:39" ht="15.75" customHeight="1" x14ac:dyDescent="0.3">
      <c r="A242" s="5">
        <v>235</v>
      </c>
      <c r="B242" s="5" t="s">
        <v>1922</v>
      </c>
      <c r="C242" s="5" t="s">
        <v>1299</v>
      </c>
      <c r="D242" s="5" t="s">
        <v>533</v>
      </c>
      <c r="F242" s="5" t="s">
        <v>534</v>
      </c>
      <c r="G242" s="5" t="s">
        <v>535</v>
      </c>
      <c r="H242" s="5" t="s">
        <v>1892</v>
      </c>
      <c r="Q242" s="5" t="s">
        <v>470</v>
      </c>
      <c r="R242" s="5" t="s">
        <v>664</v>
      </c>
      <c r="S242" s="5">
        <v>70160101</v>
      </c>
      <c r="T242" s="5" t="s">
        <v>665</v>
      </c>
      <c r="U242" s="5">
        <v>40000</v>
      </c>
      <c r="V242" s="5">
        <v>18275.810000000001</v>
      </c>
      <c r="W242" s="5" t="s">
        <v>474</v>
      </c>
      <c r="X242" s="6">
        <v>46174</v>
      </c>
      <c r="Y242" s="6">
        <v>46265</v>
      </c>
      <c r="Z242" s="10"/>
      <c r="AA242" s="10"/>
      <c r="AB242" s="5" t="s">
        <v>478</v>
      </c>
      <c r="AD242" s="5" t="s">
        <v>542</v>
      </c>
      <c r="AE242" s="5" t="s">
        <v>1923</v>
      </c>
      <c r="AF242" s="11">
        <v>46147</v>
      </c>
      <c r="AG242" s="5" t="s">
        <v>1924</v>
      </c>
      <c r="AH242" s="11">
        <v>46238</v>
      </c>
      <c r="AI242" s="5" t="s">
        <v>1925</v>
      </c>
      <c r="AJ242" s="5" t="s">
        <v>1926</v>
      </c>
      <c r="AM242" s="5" t="s">
        <v>1927</v>
      </c>
    </row>
    <row r="243" spans="1:39" ht="15.75" customHeight="1" x14ac:dyDescent="0.3">
      <c r="A243" s="5">
        <v>236</v>
      </c>
      <c r="B243" s="5" t="s">
        <v>1928</v>
      </c>
      <c r="C243" s="5" t="s">
        <v>1299</v>
      </c>
      <c r="D243" s="5" t="s">
        <v>533</v>
      </c>
      <c r="F243" s="5" t="s">
        <v>534</v>
      </c>
      <c r="G243" s="5" t="s">
        <v>535</v>
      </c>
      <c r="H243" s="5" t="s">
        <v>1892</v>
      </c>
      <c r="Q243" s="5" t="s">
        <v>470</v>
      </c>
      <c r="R243" s="5" t="s">
        <v>726</v>
      </c>
      <c r="S243" s="5">
        <v>70190101</v>
      </c>
      <c r="T243" s="5" t="s">
        <v>727</v>
      </c>
      <c r="U243" s="5">
        <v>40000</v>
      </c>
      <c r="V243" s="5">
        <v>24743.539199999999</v>
      </c>
      <c r="W243" s="5" t="s">
        <v>474</v>
      </c>
      <c r="X243" s="6">
        <v>46188</v>
      </c>
      <c r="Y243" s="6">
        <v>46265</v>
      </c>
      <c r="Z243" s="10"/>
      <c r="AA243" s="10"/>
      <c r="AB243" s="5" t="s">
        <v>478</v>
      </c>
      <c r="AD243" s="5" t="s">
        <v>542</v>
      </c>
      <c r="AE243" s="5" t="s">
        <v>1929</v>
      </c>
      <c r="AF243" s="11">
        <v>46209</v>
      </c>
      <c r="AG243" s="5" t="s">
        <v>1930</v>
      </c>
      <c r="AH243" s="5" t="s">
        <v>1931</v>
      </c>
      <c r="AI243" s="5" t="s">
        <v>1932</v>
      </c>
      <c r="AJ243" s="5" t="s">
        <v>1933</v>
      </c>
      <c r="AM243" s="5" t="s">
        <v>1934</v>
      </c>
    </row>
    <row r="244" spans="1:39" ht="15.75" customHeight="1" x14ac:dyDescent="0.3">
      <c r="A244" s="5">
        <v>237</v>
      </c>
      <c r="B244" s="5" t="s">
        <v>1935</v>
      </c>
      <c r="C244" s="5" t="s">
        <v>1299</v>
      </c>
      <c r="D244" s="5" t="s">
        <v>533</v>
      </c>
      <c r="F244" s="5" t="s">
        <v>534</v>
      </c>
      <c r="G244" s="5" t="s">
        <v>535</v>
      </c>
      <c r="H244" s="5" t="s">
        <v>1892</v>
      </c>
      <c r="Q244" s="5" t="s">
        <v>470</v>
      </c>
      <c r="R244" s="5" t="s">
        <v>684</v>
      </c>
      <c r="S244" s="5">
        <v>70120201</v>
      </c>
      <c r="T244" s="5" t="s">
        <v>686</v>
      </c>
      <c r="U244" s="5">
        <v>40000</v>
      </c>
      <c r="V244" s="5">
        <v>45519.91</v>
      </c>
      <c r="W244" s="5" t="s">
        <v>474</v>
      </c>
      <c r="X244" s="6">
        <v>46174</v>
      </c>
      <c r="Y244" s="6">
        <v>46265</v>
      </c>
      <c r="Z244" s="10"/>
      <c r="AA244" s="10"/>
      <c r="AB244" s="5" t="s">
        <v>478</v>
      </c>
      <c r="AD244" s="5" t="s">
        <v>542</v>
      </c>
      <c r="AE244" s="5" t="s">
        <v>1936</v>
      </c>
      <c r="AF244" s="11">
        <v>46192</v>
      </c>
      <c r="AG244" s="5" t="s">
        <v>1937</v>
      </c>
      <c r="AH244" s="11">
        <v>46209</v>
      </c>
      <c r="AI244" s="5" t="s">
        <v>1938</v>
      </c>
      <c r="AJ244" s="5" t="s">
        <v>1939</v>
      </c>
      <c r="AM244" s="5" t="s">
        <v>1940</v>
      </c>
    </row>
    <row r="245" spans="1:39" ht="15.75" customHeight="1" x14ac:dyDescent="0.3">
      <c r="A245" s="5">
        <v>238</v>
      </c>
      <c r="B245" s="5" t="s">
        <v>1941</v>
      </c>
      <c r="C245" s="5" t="s">
        <v>1299</v>
      </c>
      <c r="D245" s="5" t="s">
        <v>533</v>
      </c>
      <c r="F245" s="5" t="s">
        <v>534</v>
      </c>
      <c r="G245" s="5" t="s">
        <v>535</v>
      </c>
      <c r="H245" s="5" t="s">
        <v>1892</v>
      </c>
      <c r="Q245" s="5" t="s">
        <v>470</v>
      </c>
      <c r="R245" s="5" t="s">
        <v>493</v>
      </c>
      <c r="S245" s="5">
        <v>70170101</v>
      </c>
      <c r="T245" s="5" t="s">
        <v>494</v>
      </c>
      <c r="U245" s="5">
        <v>40000</v>
      </c>
      <c r="V245" s="5">
        <v>40000</v>
      </c>
      <c r="W245" s="5" t="s">
        <v>474</v>
      </c>
      <c r="X245" s="6">
        <v>46174</v>
      </c>
      <c r="Y245" s="6">
        <v>46265</v>
      </c>
      <c r="Z245" s="10"/>
      <c r="AA245" s="10"/>
      <c r="AB245" s="5" t="s">
        <v>478</v>
      </c>
      <c r="AD245" s="5" t="s">
        <v>542</v>
      </c>
      <c r="AE245" s="5" t="s">
        <v>1942</v>
      </c>
      <c r="AF245" s="11">
        <v>46195</v>
      </c>
      <c r="AI245" s="5" t="s">
        <v>1943</v>
      </c>
      <c r="AJ245" s="5" t="s">
        <v>1944</v>
      </c>
      <c r="AM245" s="5" t="s">
        <v>1940</v>
      </c>
    </row>
    <row r="246" spans="1:39" ht="15.75" customHeight="1" x14ac:dyDescent="0.3">
      <c r="A246" s="5">
        <v>239</v>
      </c>
      <c r="B246" s="5" t="s">
        <v>1945</v>
      </c>
      <c r="C246" s="5" t="s">
        <v>1299</v>
      </c>
      <c r="D246" s="5" t="s">
        <v>533</v>
      </c>
      <c r="F246" s="5" t="s">
        <v>534</v>
      </c>
      <c r="G246" s="5" t="s">
        <v>535</v>
      </c>
      <c r="H246" s="5" t="s">
        <v>1892</v>
      </c>
      <c r="Q246" s="5" t="s">
        <v>470</v>
      </c>
      <c r="R246" s="5" t="s">
        <v>510</v>
      </c>
      <c r="S246" s="5">
        <v>70180103</v>
      </c>
      <c r="T246" s="5" t="s">
        <v>511</v>
      </c>
      <c r="U246" s="5">
        <v>40000</v>
      </c>
      <c r="V246" s="5">
        <v>40280.841999999997</v>
      </c>
      <c r="W246" s="5" t="s">
        <v>474</v>
      </c>
      <c r="X246" s="6">
        <v>46188</v>
      </c>
      <c r="Y246" s="6">
        <v>46265</v>
      </c>
      <c r="Z246" s="10"/>
      <c r="AA246" s="10"/>
      <c r="AB246" s="5" t="s">
        <v>478</v>
      </c>
      <c r="AD246" s="5" t="s">
        <v>542</v>
      </c>
      <c r="AE246" s="5" t="s">
        <v>1946</v>
      </c>
      <c r="AF246" s="11">
        <v>46120</v>
      </c>
      <c r="AG246" s="5" t="s">
        <v>1947</v>
      </c>
      <c r="AH246" s="5" t="s">
        <v>1948</v>
      </c>
      <c r="AI246" s="5" t="s">
        <v>1949</v>
      </c>
      <c r="AJ246" s="5" t="s">
        <v>1950</v>
      </c>
      <c r="AM246" s="5" t="s">
        <v>1951</v>
      </c>
    </row>
    <row r="247" spans="1:39" ht="15.75" customHeight="1" x14ac:dyDescent="0.3">
      <c r="A247" s="5">
        <v>240</v>
      </c>
      <c r="B247" s="5" t="s">
        <v>1952</v>
      </c>
      <c r="C247" s="5" t="s">
        <v>1299</v>
      </c>
      <c r="D247" s="5" t="s">
        <v>533</v>
      </c>
      <c r="F247" s="5" t="s">
        <v>534</v>
      </c>
      <c r="G247" s="5" t="s">
        <v>535</v>
      </c>
      <c r="H247" s="5" t="s">
        <v>1892</v>
      </c>
      <c r="Q247" s="5" t="s">
        <v>470</v>
      </c>
      <c r="R247" s="5" t="s">
        <v>538</v>
      </c>
      <c r="S247" s="5">
        <v>70150101</v>
      </c>
      <c r="T247" s="5" t="s">
        <v>540</v>
      </c>
      <c r="U247" s="5">
        <v>40000</v>
      </c>
      <c r="V247" s="5">
        <v>40000</v>
      </c>
      <c r="W247" s="5" t="s">
        <v>474</v>
      </c>
      <c r="X247" s="6">
        <v>46188</v>
      </c>
      <c r="Y247" s="6">
        <v>46265</v>
      </c>
      <c r="Z247" s="10"/>
      <c r="AA247" s="10"/>
      <c r="AB247" s="5" t="s">
        <v>478</v>
      </c>
      <c r="AD247" s="5" t="s">
        <v>542</v>
      </c>
      <c r="AI247" s="5" t="s">
        <v>1953</v>
      </c>
      <c r="AJ247" s="5" t="s">
        <v>1954</v>
      </c>
      <c r="AM247" s="5" t="s">
        <v>1940</v>
      </c>
    </row>
    <row r="248" spans="1:39" ht="15.75" customHeight="1" x14ac:dyDescent="0.3">
      <c r="A248" s="5">
        <v>241</v>
      </c>
      <c r="B248" s="5" t="s">
        <v>1955</v>
      </c>
      <c r="C248" s="5" t="s">
        <v>1299</v>
      </c>
      <c r="D248" s="5" t="s">
        <v>533</v>
      </c>
      <c r="F248" s="5" t="s">
        <v>534</v>
      </c>
      <c r="G248" s="5" t="s">
        <v>535</v>
      </c>
      <c r="H248" s="5" t="s">
        <v>1956</v>
      </c>
      <c r="Q248" s="5" t="s">
        <v>470</v>
      </c>
      <c r="R248" s="5" t="s">
        <v>774</v>
      </c>
      <c r="S248" s="5">
        <v>70110107</v>
      </c>
      <c r="T248" s="5" t="s">
        <v>896</v>
      </c>
      <c r="U248" s="5">
        <v>40000</v>
      </c>
      <c r="V248" s="5">
        <v>47547.92</v>
      </c>
      <c r="W248" s="5" t="s">
        <v>474</v>
      </c>
      <c r="X248" s="6">
        <v>46178</v>
      </c>
      <c r="Y248" s="6">
        <v>46265</v>
      </c>
      <c r="Z248" s="10"/>
      <c r="AA248" s="10"/>
      <c r="AB248" s="5" t="s">
        <v>478</v>
      </c>
      <c r="AD248" s="5" t="s">
        <v>542</v>
      </c>
      <c r="AE248" s="5" t="s">
        <v>1957</v>
      </c>
      <c r="AF248" s="11">
        <v>46120</v>
      </c>
      <c r="AG248" s="5" t="s">
        <v>1958</v>
      </c>
      <c r="AH248" s="5" t="s">
        <v>1959</v>
      </c>
      <c r="AI248" s="5" t="s">
        <v>1960</v>
      </c>
      <c r="AJ248" s="5" t="s">
        <v>1961</v>
      </c>
      <c r="AM248" s="5" t="s">
        <v>1962</v>
      </c>
    </row>
    <row r="249" spans="1:39" ht="15.75" customHeight="1" x14ac:dyDescent="0.3">
      <c r="A249" s="5">
        <v>242</v>
      </c>
      <c r="B249" s="5" t="s">
        <v>1963</v>
      </c>
      <c r="C249" s="5" t="s">
        <v>1299</v>
      </c>
      <c r="D249" s="5" t="s">
        <v>533</v>
      </c>
      <c r="F249" s="5" t="s">
        <v>534</v>
      </c>
      <c r="G249" s="5" t="s">
        <v>535</v>
      </c>
      <c r="H249" s="5" t="s">
        <v>1964</v>
      </c>
      <c r="Q249" s="5" t="s">
        <v>470</v>
      </c>
      <c r="R249" s="5" t="s">
        <v>774</v>
      </c>
      <c r="S249" s="5">
        <v>70110103</v>
      </c>
      <c r="T249" s="5" t="s">
        <v>877</v>
      </c>
      <c r="U249" s="5">
        <v>40000</v>
      </c>
      <c r="V249" s="5">
        <v>40000</v>
      </c>
      <c r="W249" s="5" t="s">
        <v>474</v>
      </c>
      <c r="X249" s="6">
        <v>46178</v>
      </c>
      <c r="Y249" s="6">
        <v>46265</v>
      </c>
      <c r="Z249" s="10"/>
      <c r="AA249" s="10"/>
      <c r="AB249" s="5" t="s">
        <v>478</v>
      </c>
      <c r="AD249" s="5" t="s">
        <v>542</v>
      </c>
      <c r="AI249" s="5" t="s">
        <v>1965</v>
      </c>
      <c r="AJ249" s="5" t="s">
        <v>1966</v>
      </c>
      <c r="AM249" s="5" t="s">
        <v>1940</v>
      </c>
    </row>
    <row r="250" spans="1:39" ht="15.75" customHeight="1" x14ac:dyDescent="0.3">
      <c r="A250" s="5">
        <v>243</v>
      </c>
      <c r="B250" s="5" t="s">
        <v>1967</v>
      </c>
      <c r="C250" s="5" t="s">
        <v>1299</v>
      </c>
      <c r="D250" s="5" t="s">
        <v>533</v>
      </c>
      <c r="F250" s="5" t="s">
        <v>534</v>
      </c>
      <c r="G250" s="5" t="s">
        <v>535</v>
      </c>
      <c r="H250" s="5" t="s">
        <v>1968</v>
      </c>
      <c r="Q250" s="5" t="s">
        <v>470</v>
      </c>
      <c r="R250" s="5" t="s">
        <v>774</v>
      </c>
      <c r="S250" s="5">
        <v>70110101</v>
      </c>
      <c r="T250" s="5" t="s">
        <v>775</v>
      </c>
      <c r="U250" s="5">
        <v>40000</v>
      </c>
      <c r="V250" s="5">
        <v>39729.99</v>
      </c>
      <c r="W250" s="5" t="s">
        <v>474</v>
      </c>
      <c r="X250" s="6">
        <v>46178</v>
      </c>
      <c r="Y250" s="6">
        <v>46265</v>
      </c>
      <c r="Z250" s="10"/>
      <c r="AA250" s="10"/>
      <c r="AB250" s="5" t="s">
        <v>478</v>
      </c>
      <c r="AD250" s="5" t="s">
        <v>542</v>
      </c>
      <c r="AE250" s="5" t="s">
        <v>1957</v>
      </c>
      <c r="AF250" s="11">
        <v>46238</v>
      </c>
      <c r="AG250" s="5" t="s">
        <v>1969</v>
      </c>
      <c r="AH250" s="11">
        <v>46238</v>
      </c>
      <c r="AI250" s="5" t="s">
        <v>1970</v>
      </c>
      <c r="AJ250" s="5" t="s">
        <v>1971</v>
      </c>
      <c r="AM250" s="5" t="s">
        <v>1940</v>
      </c>
    </row>
    <row r="251" spans="1:39" ht="15.75" customHeight="1" x14ac:dyDescent="0.3">
      <c r="A251" s="5">
        <v>244</v>
      </c>
      <c r="B251" s="5" t="s">
        <v>1972</v>
      </c>
      <c r="C251" s="5" t="s">
        <v>1299</v>
      </c>
      <c r="D251" s="5" t="s">
        <v>533</v>
      </c>
      <c r="F251" s="5" t="s">
        <v>534</v>
      </c>
      <c r="G251" s="5" t="s">
        <v>535</v>
      </c>
      <c r="H251" s="5" t="s">
        <v>1973</v>
      </c>
      <c r="Q251" s="5" t="s">
        <v>470</v>
      </c>
      <c r="R251" s="5" t="s">
        <v>559</v>
      </c>
      <c r="S251" s="5">
        <v>10110205</v>
      </c>
      <c r="T251" s="5" t="s">
        <v>850</v>
      </c>
      <c r="U251" s="5">
        <v>40000</v>
      </c>
      <c r="V251" s="5">
        <v>40000</v>
      </c>
      <c r="W251" s="5" t="s">
        <v>474</v>
      </c>
      <c r="X251" s="6">
        <v>46203</v>
      </c>
      <c r="Y251" s="6">
        <v>46265</v>
      </c>
      <c r="Z251" s="10"/>
      <c r="AA251" s="10"/>
      <c r="AB251" s="5" t="s">
        <v>478</v>
      </c>
      <c r="AD251" s="5" t="s">
        <v>542</v>
      </c>
      <c r="AI251" s="5" t="s">
        <v>1974</v>
      </c>
      <c r="AJ251" s="5" t="s">
        <v>1975</v>
      </c>
      <c r="AM251" s="5" t="s">
        <v>1940</v>
      </c>
    </row>
    <row r="252" spans="1:39" ht="15.75" customHeight="1" x14ac:dyDescent="0.3">
      <c r="A252" s="5">
        <v>245</v>
      </c>
      <c r="B252" s="5" t="s">
        <v>1976</v>
      </c>
      <c r="C252" s="5" t="s">
        <v>1299</v>
      </c>
      <c r="D252" s="5" t="s">
        <v>533</v>
      </c>
      <c r="F252" s="5" t="s">
        <v>534</v>
      </c>
      <c r="G252" s="5" t="s">
        <v>535</v>
      </c>
      <c r="H252" s="5" t="s">
        <v>1977</v>
      </c>
      <c r="Q252" s="5" t="s">
        <v>470</v>
      </c>
      <c r="R252" s="5" t="s">
        <v>559</v>
      </c>
      <c r="S252" s="5">
        <v>10110102</v>
      </c>
      <c r="T252" s="5" t="s">
        <v>716</v>
      </c>
      <c r="U252" s="5">
        <v>40000</v>
      </c>
      <c r="V252" s="5">
        <v>40000</v>
      </c>
      <c r="W252" s="5" t="s">
        <v>474</v>
      </c>
      <c r="X252" s="6">
        <v>46203</v>
      </c>
      <c r="Y252" s="6">
        <v>46265</v>
      </c>
      <c r="Z252" s="10"/>
      <c r="AA252" s="10"/>
      <c r="AB252" s="5" t="s">
        <v>478</v>
      </c>
      <c r="AD252" s="5" t="s">
        <v>542</v>
      </c>
      <c r="AE252" s="5" t="s">
        <v>1978</v>
      </c>
      <c r="AI252" s="5" t="s">
        <v>1979</v>
      </c>
      <c r="AJ252" s="5" t="s">
        <v>1980</v>
      </c>
      <c r="AM252" s="5" t="s">
        <v>1981</v>
      </c>
    </row>
    <row r="253" spans="1:39" ht="15.75" customHeight="1" x14ac:dyDescent="0.3">
      <c r="A253" s="5">
        <v>246</v>
      </c>
      <c r="B253" s="5" t="s">
        <v>1982</v>
      </c>
      <c r="C253" s="5" t="s">
        <v>1299</v>
      </c>
      <c r="D253" s="5" t="s">
        <v>533</v>
      </c>
      <c r="F253" s="5" t="s">
        <v>534</v>
      </c>
      <c r="G253" s="5" t="s">
        <v>535</v>
      </c>
      <c r="H253" s="5" t="s">
        <v>1983</v>
      </c>
      <c r="Q253" s="5" t="s">
        <v>470</v>
      </c>
      <c r="R253" s="5" t="s">
        <v>559</v>
      </c>
      <c r="S253" s="5">
        <v>10110201</v>
      </c>
      <c r="T253" s="5" t="s">
        <v>614</v>
      </c>
      <c r="U253" s="5">
        <v>40000</v>
      </c>
      <c r="V253" s="5">
        <v>40000</v>
      </c>
      <c r="W253" s="5" t="s">
        <v>474</v>
      </c>
      <c r="X253" s="6">
        <v>46203</v>
      </c>
      <c r="Y253" s="6">
        <v>46265</v>
      </c>
      <c r="Z253" s="10"/>
      <c r="AA253" s="10"/>
      <c r="AB253" s="5" t="s">
        <v>478</v>
      </c>
      <c r="AD253" s="5" t="s">
        <v>542</v>
      </c>
      <c r="AI253" s="5" t="s">
        <v>1984</v>
      </c>
      <c r="AJ253" s="5" t="s">
        <v>1985</v>
      </c>
      <c r="AK253" s="11">
        <v>46055</v>
      </c>
      <c r="AL253" s="5" t="s">
        <v>501</v>
      </c>
      <c r="AM253" s="5" t="s">
        <v>1940</v>
      </c>
    </row>
    <row r="254" spans="1:39" ht="15.75" customHeight="1" x14ac:dyDescent="0.3">
      <c r="A254" s="5">
        <v>247</v>
      </c>
      <c r="B254" s="5" t="s">
        <v>1986</v>
      </c>
      <c r="C254" s="5" t="s">
        <v>1299</v>
      </c>
      <c r="D254" s="5" t="s">
        <v>533</v>
      </c>
      <c r="F254" s="5" t="s">
        <v>534</v>
      </c>
      <c r="G254" s="5" t="s">
        <v>535</v>
      </c>
      <c r="H254" s="5" t="s">
        <v>1987</v>
      </c>
      <c r="Q254" s="5" t="s">
        <v>470</v>
      </c>
      <c r="R254" s="5" t="s">
        <v>559</v>
      </c>
      <c r="S254" s="5">
        <v>10110204</v>
      </c>
      <c r="T254" s="5" t="s">
        <v>561</v>
      </c>
      <c r="U254" s="5">
        <v>40000</v>
      </c>
      <c r="V254" s="5">
        <v>40000</v>
      </c>
      <c r="W254" s="5" t="s">
        <v>474</v>
      </c>
      <c r="X254" s="6">
        <v>46174</v>
      </c>
      <c r="Y254" s="6">
        <v>46265</v>
      </c>
      <c r="Z254" s="10"/>
      <c r="AA254" s="10"/>
      <c r="AB254" s="5" t="s">
        <v>478</v>
      </c>
      <c r="AD254" s="5" t="s">
        <v>542</v>
      </c>
      <c r="AI254" s="5" t="s">
        <v>1988</v>
      </c>
      <c r="AJ254" s="5" t="s">
        <v>1989</v>
      </c>
      <c r="AM254" s="5" t="s">
        <v>1990</v>
      </c>
    </row>
    <row r="255" spans="1:39" ht="15.75" customHeight="1" x14ac:dyDescent="0.3">
      <c r="A255" s="5">
        <v>248</v>
      </c>
      <c r="B255" s="5" t="s">
        <v>1991</v>
      </c>
      <c r="C255" s="5" t="s">
        <v>1299</v>
      </c>
      <c r="D255" s="5" t="s">
        <v>1760</v>
      </c>
      <c r="F255" s="5" t="s">
        <v>1761</v>
      </c>
      <c r="G255" s="5" t="s">
        <v>1762</v>
      </c>
      <c r="H255" s="5" t="s">
        <v>1992</v>
      </c>
      <c r="Q255" s="5" t="s">
        <v>470</v>
      </c>
      <c r="R255" s="5" t="s">
        <v>527</v>
      </c>
      <c r="S255" s="5">
        <v>10220111</v>
      </c>
      <c r="T255" s="5" t="s">
        <v>528</v>
      </c>
      <c r="U255" s="5">
        <v>16000</v>
      </c>
      <c r="W255" s="5" t="s">
        <v>512</v>
      </c>
      <c r="X255" s="6">
        <v>46174</v>
      </c>
      <c r="Y255" s="6">
        <v>46339</v>
      </c>
      <c r="Z255" s="10"/>
      <c r="AA255" s="10"/>
      <c r="AB255" s="5" t="s">
        <v>514</v>
      </c>
      <c r="AD255" s="5" t="s">
        <v>1764</v>
      </c>
      <c r="AE255" s="5" t="s">
        <v>1993</v>
      </c>
      <c r="AF255" s="11">
        <v>46168</v>
      </c>
      <c r="AI255" s="5" t="s">
        <v>1994</v>
      </c>
      <c r="AJ255" s="5" t="s">
        <v>1995</v>
      </c>
      <c r="AM255" s="5" t="s">
        <v>1287</v>
      </c>
    </row>
    <row r="256" spans="1:39" ht="15.75" customHeight="1" x14ac:dyDescent="0.3">
      <c r="A256" s="5">
        <v>249</v>
      </c>
      <c r="B256" s="5" t="s">
        <v>1996</v>
      </c>
      <c r="C256" s="5" t="s">
        <v>1299</v>
      </c>
      <c r="D256" s="5" t="s">
        <v>1760</v>
      </c>
      <c r="F256" s="5" t="s">
        <v>1761</v>
      </c>
      <c r="G256" s="5" t="s">
        <v>1762</v>
      </c>
      <c r="H256" s="5" t="s">
        <v>1992</v>
      </c>
      <c r="Q256" s="5" t="s">
        <v>470</v>
      </c>
      <c r="R256" s="5" t="s">
        <v>649</v>
      </c>
      <c r="S256" s="5">
        <v>10220106</v>
      </c>
      <c r="T256" s="5" t="s">
        <v>651</v>
      </c>
      <c r="U256" s="5">
        <v>16000</v>
      </c>
      <c r="W256" s="5" t="s">
        <v>512</v>
      </c>
      <c r="X256" s="6">
        <v>46174</v>
      </c>
      <c r="Y256" s="6">
        <v>46339</v>
      </c>
      <c r="Z256" s="10"/>
      <c r="AA256" s="10"/>
      <c r="AB256" s="5" t="s">
        <v>514</v>
      </c>
      <c r="AD256" s="5" t="s">
        <v>1764</v>
      </c>
      <c r="AE256" s="5" t="s">
        <v>1993</v>
      </c>
      <c r="AF256" s="11">
        <v>46168</v>
      </c>
      <c r="AI256" s="5" t="s">
        <v>1997</v>
      </c>
      <c r="AJ256" s="5" t="s">
        <v>1995</v>
      </c>
      <c r="AM256" s="5" t="s">
        <v>1287</v>
      </c>
    </row>
    <row r="257" spans="1:39" ht="15.75" customHeight="1" x14ac:dyDescent="0.3">
      <c r="A257" s="5">
        <v>250</v>
      </c>
      <c r="B257" s="5" t="s">
        <v>1998</v>
      </c>
      <c r="C257" s="5" t="s">
        <v>1299</v>
      </c>
      <c r="D257" s="5" t="s">
        <v>1760</v>
      </c>
      <c r="F257" s="5" t="s">
        <v>1761</v>
      </c>
      <c r="G257" s="5" t="s">
        <v>1762</v>
      </c>
      <c r="H257" s="5" t="s">
        <v>1992</v>
      </c>
      <c r="Q257" s="5" t="s">
        <v>470</v>
      </c>
      <c r="R257" s="5" t="s">
        <v>588</v>
      </c>
      <c r="S257" s="5">
        <v>10220108</v>
      </c>
      <c r="T257" s="5" t="s">
        <v>590</v>
      </c>
      <c r="U257" s="5">
        <v>16000</v>
      </c>
      <c r="W257" s="5" t="s">
        <v>512</v>
      </c>
      <c r="X257" s="6">
        <v>46174</v>
      </c>
      <c r="Y257" s="6">
        <v>46339</v>
      </c>
      <c r="Z257" s="10"/>
      <c r="AA257" s="10"/>
      <c r="AB257" s="5" t="s">
        <v>514</v>
      </c>
      <c r="AD257" s="5" t="s">
        <v>1764</v>
      </c>
      <c r="AE257" s="5" t="s">
        <v>1993</v>
      </c>
      <c r="AF257" s="11">
        <v>46168</v>
      </c>
      <c r="AI257" s="5" t="s">
        <v>1999</v>
      </c>
      <c r="AJ257" s="5" t="s">
        <v>1995</v>
      </c>
      <c r="AM257" s="5" t="s">
        <v>1287</v>
      </c>
    </row>
    <row r="258" spans="1:39" ht="15.75" customHeight="1" x14ac:dyDescent="0.3">
      <c r="A258" s="5">
        <v>251</v>
      </c>
      <c r="B258" s="5" t="s">
        <v>2000</v>
      </c>
      <c r="C258" s="5" t="s">
        <v>1299</v>
      </c>
      <c r="D258" s="5" t="s">
        <v>1760</v>
      </c>
      <c r="F258" s="5" t="s">
        <v>1761</v>
      </c>
      <c r="G258" s="5" t="s">
        <v>1762</v>
      </c>
      <c r="H258" s="5" t="s">
        <v>1992</v>
      </c>
      <c r="Q258" s="5" t="s">
        <v>470</v>
      </c>
      <c r="R258" s="5" t="s">
        <v>471</v>
      </c>
      <c r="S258" s="5">
        <v>10220110</v>
      </c>
      <c r="T258" s="5" t="s">
        <v>472</v>
      </c>
      <c r="U258" s="5">
        <v>16000</v>
      </c>
      <c r="W258" s="5" t="s">
        <v>512</v>
      </c>
      <c r="X258" s="6">
        <v>46174</v>
      </c>
      <c r="Y258" s="6">
        <v>46339</v>
      </c>
      <c r="Z258" s="10"/>
      <c r="AA258" s="10"/>
      <c r="AB258" s="5" t="s">
        <v>514</v>
      </c>
      <c r="AD258" s="5" t="s">
        <v>1764</v>
      </c>
      <c r="AE258" s="5" t="s">
        <v>1993</v>
      </c>
      <c r="AF258" s="11">
        <v>46168</v>
      </c>
      <c r="AI258" s="5" t="s">
        <v>2001</v>
      </c>
      <c r="AJ258" s="5" t="s">
        <v>1995</v>
      </c>
      <c r="AM258" s="5" t="s">
        <v>1287</v>
      </c>
    </row>
    <row r="259" spans="1:39" ht="15.75" customHeight="1" x14ac:dyDescent="0.3">
      <c r="A259" s="5">
        <v>252</v>
      </c>
      <c r="B259" s="5" t="s">
        <v>2002</v>
      </c>
      <c r="C259" s="5" t="s">
        <v>1299</v>
      </c>
      <c r="D259" s="5" t="s">
        <v>1760</v>
      </c>
      <c r="F259" s="5" t="s">
        <v>1761</v>
      </c>
      <c r="G259" s="5" t="s">
        <v>1762</v>
      </c>
      <c r="H259" s="5" t="s">
        <v>1992</v>
      </c>
      <c r="Q259" s="5" t="s">
        <v>470</v>
      </c>
      <c r="R259" s="5" t="s">
        <v>664</v>
      </c>
      <c r="S259" s="5">
        <v>70160101</v>
      </c>
      <c r="T259" s="5" t="s">
        <v>665</v>
      </c>
      <c r="U259" s="5">
        <v>16000</v>
      </c>
      <c r="W259" s="5" t="s">
        <v>512</v>
      </c>
      <c r="X259" s="6">
        <v>46174</v>
      </c>
      <c r="Y259" s="6">
        <v>46339</v>
      </c>
      <c r="Z259" s="10"/>
      <c r="AA259" s="10"/>
      <c r="AB259" s="5" t="s">
        <v>514</v>
      </c>
      <c r="AD259" s="5" t="s">
        <v>1764</v>
      </c>
      <c r="AE259" s="5" t="s">
        <v>1993</v>
      </c>
      <c r="AF259" s="11">
        <v>46168</v>
      </c>
      <c r="AI259" s="5" t="s">
        <v>2003</v>
      </c>
      <c r="AJ259" s="5" t="s">
        <v>1995</v>
      </c>
      <c r="AM259" s="5" t="s">
        <v>2004</v>
      </c>
    </row>
    <row r="260" spans="1:39" ht="15.75" customHeight="1" x14ac:dyDescent="0.3">
      <c r="A260" s="5">
        <v>253</v>
      </c>
      <c r="B260" s="5" t="s">
        <v>2005</v>
      </c>
      <c r="C260" s="5" t="s">
        <v>1299</v>
      </c>
      <c r="D260" s="5" t="s">
        <v>1760</v>
      </c>
      <c r="F260" s="5" t="s">
        <v>1761</v>
      </c>
      <c r="G260" s="5" t="s">
        <v>1762</v>
      </c>
      <c r="H260" s="5" t="s">
        <v>1992</v>
      </c>
      <c r="Q260" s="5" t="s">
        <v>470</v>
      </c>
      <c r="R260" s="5" t="s">
        <v>726</v>
      </c>
      <c r="S260" s="5">
        <v>70190101</v>
      </c>
      <c r="T260" s="5" t="s">
        <v>727</v>
      </c>
      <c r="U260" s="5">
        <v>16000</v>
      </c>
      <c r="W260" s="5" t="s">
        <v>512</v>
      </c>
      <c r="X260" s="6">
        <v>46174</v>
      </c>
      <c r="Y260" s="6">
        <v>46339</v>
      </c>
      <c r="Z260" s="10"/>
      <c r="AA260" s="10"/>
      <c r="AB260" s="5" t="s">
        <v>514</v>
      </c>
      <c r="AD260" s="5" t="s">
        <v>1764</v>
      </c>
      <c r="AE260" s="5" t="s">
        <v>1993</v>
      </c>
      <c r="AF260" s="11">
        <v>46168</v>
      </c>
      <c r="AI260" s="5" t="s">
        <v>2006</v>
      </c>
      <c r="AJ260" s="5" t="s">
        <v>1995</v>
      </c>
      <c r="AM260" s="5" t="s">
        <v>1287</v>
      </c>
    </row>
    <row r="261" spans="1:39" ht="15.75" customHeight="1" x14ac:dyDescent="0.3">
      <c r="A261" s="5">
        <v>254</v>
      </c>
      <c r="B261" s="5" t="s">
        <v>2007</v>
      </c>
      <c r="C261" s="5" t="s">
        <v>1299</v>
      </c>
      <c r="D261" s="5" t="s">
        <v>1760</v>
      </c>
      <c r="F261" s="5" t="s">
        <v>1761</v>
      </c>
      <c r="G261" s="5" t="s">
        <v>1762</v>
      </c>
      <c r="H261" s="5" t="s">
        <v>1992</v>
      </c>
      <c r="Q261" s="5" t="s">
        <v>470</v>
      </c>
      <c r="R261" s="5" t="s">
        <v>684</v>
      </c>
      <c r="S261" s="5">
        <v>70120201</v>
      </c>
      <c r="T261" s="5" t="s">
        <v>686</v>
      </c>
      <c r="U261" s="5">
        <v>16000</v>
      </c>
      <c r="W261" s="5" t="s">
        <v>512</v>
      </c>
      <c r="X261" s="6">
        <v>46174</v>
      </c>
      <c r="Y261" s="6">
        <v>46339</v>
      </c>
      <c r="Z261" s="10"/>
      <c r="AA261" s="10"/>
      <c r="AB261" s="5" t="s">
        <v>514</v>
      </c>
      <c r="AD261" s="5" t="s">
        <v>1764</v>
      </c>
      <c r="AE261" s="5" t="s">
        <v>1993</v>
      </c>
      <c r="AF261" s="11">
        <v>46168</v>
      </c>
      <c r="AI261" s="5" t="s">
        <v>2008</v>
      </c>
      <c r="AJ261" s="5" t="s">
        <v>1995</v>
      </c>
      <c r="AM261" s="5" t="s">
        <v>1287</v>
      </c>
    </row>
    <row r="262" spans="1:39" ht="15.75" customHeight="1" x14ac:dyDescent="0.3">
      <c r="A262" s="5">
        <v>255</v>
      </c>
      <c r="B262" s="5" t="s">
        <v>2009</v>
      </c>
      <c r="C262" s="5" t="s">
        <v>1299</v>
      </c>
      <c r="D262" s="5" t="s">
        <v>1760</v>
      </c>
      <c r="F262" s="5" t="s">
        <v>1761</v>
      </c>
      <c r="G262" s="5" t="s">
        <v>1762</v>
      </c>
      <c r="H262" s="5" t="s">
        <v>1992</v>
      </c>
      <c r="Q262" s="5" t="s">
        <v>470</v>
      </c>
      <c r="R262" s="5" t="s">
        <v>493</v>
      </c>
      <c r="S262" s="5">
        <v>70170101</v>
      </c>
      <c r="T262" s="5" t="s">
        <v>494</v>
      </c>
      <c r="U262" s="5">
        <v>16000</v>
      </c>
      <c r="W262" s="5" t="s">
        <v>512</v>
      </c>
      <c r="X262" s="6">
        <v>46174</v>
      </c>
      <c r="Y262" s="6">
        <v>46339</v>
      </c>
      <c r="Z262" s="10"/>
      <c r="AA262" s="10"/>
      <c r="AB262" s="5" t="s">
        <v>514</v>
      </c>
      <c r="AD262" s="5" t="s">
        <v>1764</v>
      </c>
      <c r="AE262" s="5" t="s">
        <v>1993</v>
      </c>
      <c r="AF262" s="11">
        <v>46168</v>
      </c>
      <c r="AI262" s="5" t="s">
        <v>2010</v>
      </c>
      <c r="AJ262" s="5" t="s">
        <v>1995</v>
      </c>
      <c r="AM262" s="5" t="s">
        <v>1287</v>
      </c>
    </row>
    <row r="263" spans="1:39" ht="15.75" customHeight="1" x14ac:dyDescent="0.3">
      <c r="A263" s="5">
        <v>256</v>
      </c>
      <c r="B263" s="5" t="s">
        <v>2011</v>
      </c>
      <c r="C263" s="5" t="s">
        <v>1299</v>
      </c>
      <c r="D263" s="5" t="s">
        <v>1760</v>
      </c>
      <c r="F263" s="5" t="s">
        <v>1761</v>
      </c>
      <c r="G263" s="5" t="s">
        <v>1762</v>
      </c>
      <c r="H263" s="5" t="s">
        <v>1992</v>
      </c>
      <c r="Q263" s="5" t="s">
        <v>470</v>
      </c>
      <c r="R263" s="5" t="s">
        <v>510</v>
      </c>
      <c r="S263" s="5">
        <v>70180103</v>
      </c>
      <c r="T263" s="5" t="s">
        <v>511</v>
      </c>
      <c r="U263" s="5">
        <v>16000</v>
      </c>
      <c r="W263" s="5" t="s">
        <v>512</v>
      </c>
      <c r="X263" s="6">
        <v>46174</v>
      </c>
      <c r="Y263" s="6">
        <v>46339</v>
      </c>
      <c r="Z263" s="10"/>
      <c r="AA263" s="10"/>
      <c r="AB263" s="5" t="s">
        <v>514</v>
      </c>
      <c r="AD263" s="5" t="s">
        <v>1764</v>
      </c>
      <c r="AE263" s="5" t="s">
        <v>1993</v>
      </c>
      <c r="AF263" s="11">
        <v>46168</v>
      </c>
      <c r="AI263" s="5" t="s">
        <v>2012</v>
      </c>
      <c r="AJ263" s="5" t="s">
        <v>1995</v>
      </c>
      <c r="AM263" s="5" t="s">
        <v>1287</v>
      </c>
    </row>
    <row r="264" spans="1:39" ht="15.75" customHeight="1" x14ac:dyDescent="0.3">
      <c r="A264" s="5">
        <v>257</v>
      </c>
      <c r="B264" s="5" t="s">
        <v>2013</v>
      </c>
      <c r="C264" s="5" t="s">
        <v>1299</v>
      </c>
      <c r="D264" s="5" t="s">
        <v>1760</v>
      </c>
      <c r="F264" s="5" t="s">
        <v>1761</v>
      </c>
      <c r="G264" s="5" t="s">
        <v>1762</v>
      </c>
      <c r="H264" s="5" t="s">
        <v>1992</v>
      </c>
      <c r="Q264" s="5" t="s">
        <v>470</v>
      </c>
      <c r="R264" s="5" t="s">
        <v>538</v>
      </c>
      <c r="S264" s="5">
        <v>70150101</v>
      </c>
      <c r="T264" s="5" t="s">
        <v>540</v>
      </c>
      <c r="U264" s="5">
        <v>16000</v>
      </c>
      <c r="W264" s="5" t="s">
        <v>512</v>
      </c>
      <c r="X264" s="6">
        <v>46174</v>
      </c>
      <c r="Y264" s="6">
        <v>46339</v>
      </c>
      <c r="Z264" s="10"/>
      <c r="AA264" s="10"/>
      <c r="AB264" s="5" t="s">
        <v>514</v>
      </c>
      <c r="AD264" s="5" t="s">
        <v>1764</v>
      </c>
      <c r="AE264" s="5" t="s">
        <v>1993</v>
      </c>
      <c r="AF264" s="11">
        <v>46168</v>
      </c>
      <c r="AI264" s="5" t="s">
        <v>2014</v>
      </c>
      <c r="AJ264" s="5" t="s">
        <v>1995</v>
      </c>
      <c r="AM264" s="5" t="s">
        <v>1287</v>
      </c>
    </row>
    <row r="265" spans="1:39" ht="15.75" customHeight="1" x14ac:dyDescent="0.3">
      <c r="A265" s="5">
        <v>258</v>
      </c>
      <c r="B265" s="5" t="s">
        <v>2015</v>
      </c>
      <c r="C265" s="5" t="s">
        <v>1299</v>
      </c>
      <c r="D265" s="5" t="s">
        <v>1760</v>
      </c>
      <c r="F265" s="5" t="s">
        <v>1761</v>
      </c>
      <c r="G265" s="5" t="s">
        <v>1762</v>
      </c>
      <c r="H265" s="5" t="s">
        <v>1992</v>
      </c>
      <c r="Q265" s="5" t="s">
        <v>470</v>
      </c>
      <c r="R265" s="5" t="s">
        <v>804</v>
      </c>
      <c r="S265" s="5">
        <v>70230101</v>
      </c>
      <c r="T265" s="5" t="s">
        <v>1412</v>
      </c>
      <c r="U265" s="5">
        <v>16000</v>
      </c>
      <c r="W265" s="5" t="s">
        <v>512</v>
      </c>
      <c r="X265" s="6">
        <v>46174</v>
      </c>
      <c r="Y265" s="6">
        <v>46356</v>
      </c>
      <c r="Z265" s="10"/>
      <c r="AA265" s="10"/>
      <c r="AB265" s="5" t="s">
        <v>514</v>
      </c>
      <c r="AD265" s="5" t="s">
        <v>1764</v>
      </c>
      <c r="AE265" s="5" t="s">
        <v>2016</v>
      </c>
      <c r="AI265" s="5" t="s">
        <v>2017</v>
      </c>
      <c r="AJ265" s="5" t="s">
        <v>1995</v>
      </c>
      <c r="AM265" s="5" t="s">
        <v>1287</v>
      </c>
    </row>
    <row r="266" spans="1:39" ht="15.75" customHeight="1" x14ac:dyDescent="0.3">
      <c r="A266" s="5">
        <v>259</v>
      </c>
      <c r="B266" s="5" t="s">
        <v>2018</v>
      </c>
      <c r="C266" s="5" t="s">
        <v>1299</v>
      </c>
      <c r="D266" s="5" t="s">
        <v>1760</v>
      </c>
      <c r="F266" s="5" t="s">
        <v>1761</v>
      </c>
      <c r="G266" s="5" t="s">
        <v>1762</v>
      </c>
      <c r="H266" s="5" t="s">
        <v>1992</v>
      </c>
      <c r="Q266" s="5" t="s">
        <v>470</v>
      </c>
      <c r="R266" s="5" t="s">
        <v>806</v>
      </c>
      <c r="S266" s="5">
        <v>70220101</v>
      </c>
      <c r="T266" s="5" t="s">
        <v>1418</v>
      </c>
      <c r="U266" s="5">
        <v>16000</v>
      </c>
      <c r="W266" s="5" t="s">
        <v>512</v>
      </c>
      <c r="X266" s="6">
        <v>46174</v>
      </c>
      <c r="Y266" s="6">
        <v>46356</v>
      </c>
      <c r="Z266" s="10"/>
      <c r="AA266" s="10"/>
      <c r="AB266" s="5" t="s">
        <v>514</v>
      </c>
      <c r="AD266" s="5" t="s">
        <v>1764</v>
      </c>
      <c r="AE266" s="5" t="s">
        <v>2016</v>
      </c>
      <c r="AI266" s="5" t="s">
        <v>2019</v>
      </c>
      <c r="AJ266" s="5" t="s">
        <v>1995</v>
      </c>
      <c r="AM266" s="5" t="s">
        <v>1287</v>
      </c>
    </row>
    <row r="267" spans="1:39" ht="15.75" customHeight="1" x14ac:dyDescent="0.3">
      <c r="A267" s="5">
        <v>260</v>
      </c>
      <c r="B267" s="5" t="s">
        <v>2020</v>
      </c>
      <c r="C267" s="5" t="s">
        <v>1299</v>
      </c>
      <c r="D267" s="5" t="s">
        <v>1760</v>
      </c>
      <c r="F267" s="5" t="s">
        <v>1761</v>
      </c>
      <c r="G267" s="5" t="s">
        <v>1762</v>
      </c>
      <c r="H267" s="5" t="s">
        <v>1992</v>
      </c>
      <c r="Q267" s="5" t="s">
        <v>470</v>
      </c>
      <c r="R267" s="5" t="s">
        <v>810</v>
      </c>
      <c r="S267" s="5">
        <v>70200101</v>
      </c>
      <c r="T267" s="5" t="s">
        <v>1424</v>
      </c>
      <c r="U267" s="5">
        <v>16000</v>
      </c>
      <c r="W267" s="5" t="s">
        <v>512</v>
      </c>
      <c r="X267" s="6">
        <v>46174</v>
      </c>
      <c r="Y267" s="6">
        <v>46356</v>
      </c>
      <c r="Z267" s="10"/>
      <c r="AA267" s="10"/>
      <c r="AB267" s="5" t="s">
        <v>514</v>
      </c>
      <c r="AD267" s="5" t="s">
        <v>1764</v>
      </c>
      <c r="AE267" s="5" t="s">
        <v>2016</v>
      </c>
      <c r="AI267" s="5" t="s">
        <v>2021</v>
      </c>
      <c r="AJ267" s="5" t="s">
        <v>1995</v>
      </c>
      <c r="AM267" s="5" t="s">
        <v>1287</v>
      </c>
    </row>
    <row r="268" spans="1:39" ht="15.75" customHeight="1" x14ac:dyDescent="0.3">
      <c r="A268" s="5">
        <v>261</v>
      </c>
      <c r="B268" s="5" t="s">
        <v>2022</v>
      </c>
      <c r="C268" s="5" t="s">
        <v>1299</v>
      </c>
      <c r="D268" s="5" t="s">
        <v>1760</v>
      </c>
      <c r="F268" s="5" t="s">
        <v>1761</v>
      </c>
      <c r="G268" s="5" t="s">
        <v>1762</v>
      </c>
      <c r="H268" s="5" t="s">
        <v>2023</v>
      </c>
      <c r="Q268" s="5" t="s">
        <v>470</v>
      </c>
      <c r="R268" s="5" t="s">
        <v>774</v>
      </c>
      <c r="S268" s="5">
        <v>70110103</v>
      </c>
      <c r="T268" s="5" t="s">
        <v>877</v>
      </c>
      <c r="U268" s="5">
        <v>16000</v>
      </c>
      <c r="W268" s="5" t="s">
        <v>512</v>
      </c>
      <c r="X268" s="6">
        <v>46174</v>
      </c>
      <c r="Y268" s="6">
        <v>46356</v>
      </c>
      <c r="Z268" s="10"/>
      <c r="AA268" s="10"/>
      <c r="AB268" s="5" t="s">
        <v>514</v>
      </c>
      <c r="AD268" s="5" t="s">
        <v>1764</v>
      </c>
      <c r="AE268" s="5" t="s">
        <v>2016</v>
      </c>
      <c r="AI268" s="5" t="s">
        <v>2024</v>
      </c>
      <c r="AJ268" s="5" t="s">
        <v>1995</v>
      </c>
      <c r="AM268" s="5" t="s">
        <v>1287</v>
      </c>
    </row>
    <row r="269" spans="1:39" ht="15.75" customHeight="1" x14ac:dyDescent="0.3">
      <c r="A269" s="5">
        <v>262</v>
      </c>
      <c r="B269" s="5" t="s">
        <v>2025</v>
      </c>
      <c r="C269" s="5" t="s">
        <v>1299</v>
      </c>
      <c r="D269" s="5" t="s">
        <v>1760</v>
      </c>
      <c r="F269" s="5" t="s">
        <v>1761</v>
      </c>
      <c r="G269" s="5" t="s">
        <v>1762</v>
      </c>
      <c r="H269" s="5" t="s">
        <v>2026</v>
      </c>
      <c r="Q269" s="5" t="s">
        <v>470</v>
      </c>
      <c r="R269" s="5" t="s">
        <v>774</v>
      </c>
      <c r="S269" s="5">
        <v>70110107</v>
      </c>
      <c r="T269" s="5" t="s">
        <v>896</v>
      </c>
      <c r="U269" s="5">
        <v>16000</v>
      </c>
      <c r="W269" s="5" t="s">
        <v>512</v>
      </c>
      <c r="X269" s="6">
        <v>46174</v>
      </c>
      <c r="Y269" s="6">
        <v>46339</v>
      </c>
      <c r="Z269" s="10"/>
      <c r="AA269" s="10"/>
      <c r="AB269" s="5" t="s">
        <v>514</v>
      </c>
      <c r="AD269" s="5" t="s">
        <v>1764</v>
      </c>
      <c r="AE269" s="5" t="s">
        <v>1993</v>
      </c>
      <c r="AF269" s="11">
        <v>46168</v>
      </c>
      <c r="AI269" s="5" t="s">
        <v>2027</v>
      </c>
      <c r="AJ269" s="5" t="s">
        <v>1995</v>
      </c>
      <c r="AM269" s="5" t="s">
        <v>1287</v>
      </c>
    </row>
    <row r="270" spans="1:39" ht="15.75" customHeight="1" x14ac:dyDescent="0.3">
      <c r="A270" s="5">
        <v>263</v>
      </c>
      <c r="B270" s="5" t="s">
        <v>2028</v>
      </c>
      <c r="C270" s="5" t="s">
        <v>1299</v>
      </c>
      <c r="D270" s="5" t="s">
        <v>1760</v>
      </c>
      <c r="F270" s="5" t="s">
        <v>1761</v>
      </c>
      <c r="G270" s="5" t="s">
        <v>1762</v>
      </c>
      <c r="H270" s="5" t="s">
        <v>2029</v>
      </c>
      <c r="Q270" s="5" t="s">
        <v>470</v>
      </c>
      <c r="R270" s="5" t="s">
        <v>774</v>
      </c>
      <c r="S270" s="5">
        <v>70110101</v>
      </c>
      <c r="T270" s="5" t="s">
        <v>775</v>
      </c>
      <c r="U270" s="5">
        <v>16000</v>
      </c>
      <c r="W270" s="5" t="s">
        <v>512</v>
      </c>
      <c r="X270" s="6">
        <v>46174</v>
      </c>
      <c r="Y270" s="6">
        <v>46356</v>
      </c>
      <c r="Z270" s="10"/>
      <c r="AA270" s="10"/>
      <c r="AB270" s="5" t="s">
        <v>514</v>
      </c>
      <c r="AD270" s="5" t="s">
        <v>1764</v>
      </c>
      <c r="AE270" s="5" t="s">
        <v>2016</v>
      </c>
      <c r="AI270" s="5" t="s">
        <v>2030</v>
      </c>
      <c r="AJ270" s="5" t="s">
        <v>1995</v>
      </c>
      <c r="AM270" s="5" t="s">
        <v>1287</v>
      </c>
    </row>
    <row r="271" spans="1:39" ht="15.75" customHeight="1" x14ac:dyDescent="0.3">
      <c r="A271" s="5">
        <v>264</v>
      </c>
      <c r="B271" s="5" t="s">
        <v>2031</v>
      </c>
      <c r="C271" s="5" t="s">
        <v>1299</v>
      </c>
      <c r="D271" s="5" t="s">
        <v>1760</v>
      </c>
      <c r="F271" s="5" t="s">
        <v>1761</v>
      </c>
      <c r="G271" s="5" t="s">
        <v>1762</v>
      </c>
      <c r="H271" s="5" t="s">
        <v>2032</v>
      </c>
      <c r="Q271" s="5" t="s">
        <v>470</v>
      </c>
      <c r="R271" s="5" t="s">
        <v>559</v>
      </c>
      <c r="S271" s="5">
        <v>10110205</v>
      </c>
      <c r="T271" s="5" t="s">
        <v>850</v>
      </c>
      <c r="U271" s="5">
        <v>16000</v>
      </c>
      <c r="W271" s="5" t="s">
        <v>512</v>
      </c>
      <c r="X271" s="6">
        <v>46174</v>
      </c>
      <c r="Y271" s="6">
        <v>46339</v>
      </c>
      <c r="Z271" s="10"/>
      <c r="AA271" s="10"/>
      <c r="AB271" s="5" t="s">
        <v>514</v>
      </c>
      <c r="AD271" s="5" t="s">
        <v>1764</v>
      </c>
      <c r="AE271" s="5" t="s">
        <v>1993</v>
      </c>
      <c r="AF271" s="11">
        <v>46168</v>
      </c>
      <c r="AI271" s="5" t="s">
        <v>2033</v>
      </c>
      <c r="AJ271" s="5" t="s">
        <v>1995</v>
      </c>
      <c r="AM271" s="5" t="s">
        <v>1287</v>
      </c>
    </row>
    <row r="272" spans="1:39" ht="15.75" customHeight="1" x14ac:dyDescent="0.3">
      <c r="A272" s="5">
        <v>265</v>
      </c>
      <c r="B272" s="5" t="s">
        <v>2034</v>
      </c>
      <c r="C272" s="5" t="s">
        <v>1299</v>
      </c>
      <c r="D272" s="5" t="s">
        <v>1760</v>
      </c>
      <c r="F272" s="5" t="s">
        <v>1761</v>
      </c>
      <c r="G272" s="5" t="s">
        <v>1762</v>
      </c>
      <c r="H272" s="5" t="s">
        <v>2035</v>
      </c>
      <c r="Q272" s="5" t="s">
        <v>470</v>
      </c>
      <c r="R272" s="5" t="s">
        <v>559</v>
      </c>
      <c r="S272" s="5">
        <v>10110102</v>
      </c>
      <c r="T272" s="5" t="s">
        <v>716</v>
      </c>
      <c r="U272" s="5">
        <v>16000</v>
      </c>
      <c r="W272" s="5" t="s">
        <v>512</v>
      </c>
      <c r="X272" s="6">
        <v>46174</v>
      </c>
      <c r="Y272" s="6">
        <v>46339</v>
      </c>
      <c r="Z272" s="10"/>
      <c r="AA272" s="10"/>
      <c r="AB272" s="5" t="s">
        <v>514</v>
      </c>
      <c r="AD272" s="5" t="s">
        <v>1764</v>
      </c>
      <c r="AE272" s="5" t="s">
        <v>1993</v>
      </c>
      <c r="AF272" s="11">
        <v>46168</v>
      </c>
      <c r="AI272" s="5" t="s">
        <v>2036</v>
      </c>
      <c r="AJ272" s="5" t="s">
        <v>1995</v>
      </c>
      <c r="AM272" s="5" t="s">
        <v>1287</v>
      </c>
    </row>
    <row r="273" spans="1:39" ht="15.75" customHeight="1" x14ac:dyDescent="0.3">
      <c r="A273" s="5">
        <v>266</v>
      </c>
      <c r="B273" s="5" t="s">
        <v>2037</v>
      </c>
      <c r="C273" s="5" t="s">
        <v>1299</v>
      </c>
      <c r="D273" s="5" t="s">
        <v>1760</v>
      </c>
      <c r="F273" s="5" t="s">
        <v>1761</v>
      </c>
      <c r="G273" s="5" t="s">
        <v>1762</v>
      </c>
      <c r="H273" s="5" t="s">
        <v>2038</v>
      </c>
      <c r="Q273" s="5" t="s">
        <v>470</v>
      </c>
      <c r="R273" s="5" t="s">
        <v>559</v>
      </c>
      <c r="S273" s="5">
        <v>10110201</v>
      </c>
      <c r="T273" s="5" t="s">
        <v>614</v>
      </c>
      <c r="U273" s="5">
        <v>16000</v>
      </c>
      <c r="W273" s="5" t="s">
        <v>512</v>
      </c>
      <c r="X273" s="6">
        <v>46174</v>
      </c>
      <c r="Y273" s="6">
        <v>46356</v>
      </c>
      <c r="Z273" s="10"/>
      <c r="AA273" s="10"/>
      <c r="AB273" s="5" t="s">
        <v>514</v>
      </c>
      <c r="AD273" s="5" t="s">
        <v>1764</v>
      </c>
      <c r="AE273" s="5" t="s">
        <v>2016</v>
      </c>
      <c r="AI273" s="5" t="s">
        <v>2039</v>
      </c>
      <c r="AJ273" s="5" t="s">
        <v>1995</v>
      </c>
      <c r="AM273" s="5" t="s">
        <v>1287</v>
      </c>
    </row>
    <row r="274" spans="1:39" ht="15.75" customHeight="1" x14ac:dyDescent="0.3">
      <c r="A274" s="5">
        <v>267</v>
      </c>
      <c r="B274" s="5" t="s">
        <v>2040</v>
      </c>
      <c r="C274" s="5" t="s">
        <v>1299</v>
      </c>
      <c r="D274" s="5" t="s">
        <v>1760</v>
      </c>
      <c r="F274" s="5" t="s">
        <v>1761</v>
      </c>
      <c r="G274" s="5" t="s">
        <v>1762</v>
      </c>
      <c r="H274" s="5" t="s">
        <v>2041</v>
      </c>
      <c r="Q274" s="5" t="s">
        <v>470</v>
      </c>
      <c r="R274" s="5" t="s">
        <v>559</v>
      </c>
      <c r="S274" s="5">
        <v>10110204</v>
      </c>
      <c r="T274" s="5" t="s">
        <v>561</v>
      </c>
      <c r="U274" s="5">
        <v>16000</v>
      </c>
      <c r="W274" s="5" t="s">
        <v>512</v>
      </c>
      <c r="X274" s="6">
        <v>46174</v>
      </c>
      <c r="Y274" s="6">
        <v>46339</v>
      </c>
      <c r="Z274" s="10"/>
      <c r="AA274" s="10"/>
      <c r="AB274" s="5" t="s">
        <v>514</v>
      </c>
      <c r="AD274" s="5" t="s">
        <v>1764</v>
      </c>
      <c r="AE274" s="5" t="s">
        <v>1993</v>
      </c>
      <c r="AF274" s="11">
        <v>46168</v>
      </c>
      <c r="AI274" s="5" t="s">
        <v>2042</v>
      </c>
      <c r="AJ274" s="5" t="s">
        <v>1995</v>
      </c>
      <c r="AM274" s="5" t="s">
        <v>1743</v>
      </c>
    </row>
    <row r="275" spans="1:39" ht="15.75" customHeight="1" x14ac:dyDescent="0.3">
      <c r="A275" s="5">
        <v>268</v>
      </c>
      <c r="B275" s="5" t="s">
        <v>2043</v>
      </c>
      <c r="C275" s="5" t="s">
        <v>1299</v>
      </c>
      <c r="D275" s="5" t="s">
        <v>533</v>
      </c>
      <c r="F275" s="5" t="s">
        <v>534</v>
      </c>
      <c r="G275" s="5" t="s">
        <v>535</v>
      </c>
      <c r="H275" s="5" t="s">
        <v>2044</v>
      </c>
      <c r="Q275" s="5" t="s">
        <v>470</v>
      </c>
      <c r="R275" s="5" t="s">
        <v>527</v>
      </c>
      <c r="S275" s="5">
        <v>10220111</v>
      </c>
      <c r="T275" s="5" t="s">
        <v>528</v>
      </c>
      <c r="U275" s="5">
        <v>21000</v>
      </c>
      <c r="W275" s="5" t="s">
        <v>474</v>
      </c>
      <c r="X275" s="10"/>
      <c r="Y275" s="10"/>
      <c r="Z275" s="10"/>
      <c r="AA275" s="10"/>
      <c r="AB275" s="5" t="s">
        <v>711</v>
      </c>
      <c r="AD275" s="5" t="s">
        <v>542</v>
      </c>
      <c r="AI275" s="5" t="s">
        <v>2045</v>
      </c>
      <c r="AJ275" s="5" t="s">
        <v>2046</v>
      </c>
      <c r="AM275" s="5" t="s">
        <v>1940</v>
      </c>
    </row>
    <row r="276" spans="1:39" ht="15.75" customHeight="1" x14ac:dyDescent="0.3">
      <c r="A276" s="5">
        <v>270</v>
      </c>
      <c r="B276" s="5" t="s">
        <v>2047</v>
      </c>
      <c r="C276" s="5" t="s">
        <v>1299</v>
      </c>
      <c r="D276" s="5" t="s">
        <v>533</v>
      </c>
      <c r="F276" s="5" t="s">
        <v>534</v>
      </c>
      <c r="G276" s="5" t="s">
        <v>535</v>
      </c>
      <c r="H276" s="5" t="s">
        <v>2044</v>
      </c>
      <c r="Q276" s="5" t="s">
        <v>470</v>
      </c>
      <c r="R276" s="5" t="s">
        <v>649</v>
      </c>
      <c r="S276" s="5">
        <v>10220106</v>
      </c>
      <c r="T276" s="5" t="s">
        <v>651</v>
      </c>
      <c r="U276" s="5" t="s">
        <v>710</v>
      </c>
      <c r="W276" s="5" t="s">
        <v>474</v>
      </c>
      <c r="X276" s="10"/>
      <c r="Y276" s="10"/>
      <c r="Z276" s="10"/>
      <c r="AA276" s="10"/>
      <c r="AB276" s="5" t="s">
        <v>711</v>
      </c>
      <c r="AD276" s="5" t="s">
        <v>542</v>
      </c>
      <c r="AI276" s="5" t="s">
        <v>2048</v>
      </c>
      <c r="AJ276" s="5" t="s">
        <v>2049</v>
      </c>
      <c r="AM276" s="5" t="s">
        <v>1940</v>
      </c>
    </row>
    <row r="277" spans="1:39" ht="15.75" customHeight="1" x14ac:dyDescent="0.3">
      <c r="A277" s="5">
        <v>271</v>
      </c>
      <c r="B277" s="5" t="s">
        <v>2050</v>
      </c>
      <c r="C277" s="5" t="s">
        <v>1299</v>
      </c>
      <c r="D277" s="5" t="s">
        <v>533</v>
      </c>
      <c r="F277" s="5" t="s">
        <v>534</v>
      </c>
      <c r="G277" s="5" t="s">
        <v>535</v>
      </c>
      <c r="H277" s="5" t="s">
        <v>2044</v>
      </c>
      <c r="Q277" s="5" t="s">
        <v>470</v>
      </c>
      <c r="R277" s="5" t="s">
        <v>588</v>
      </c>
      <c r="S277" s="5">
        <v>10220108</v>
      </c>
      <c r="T277" s="5" t="s">
        <v>590</v>
      </c>
      <c r="U277" s="5">
        <v>21000</v>
      </c>
      <c r="W277" s="5" t="s">
        <v>474</v>
      </c>
      <c r="X277" s="10"/>
      <c r="Y277" s="10"/>
      <c r="Z277" s="10"/>
      <c r="AA277" s="10"/>
      <c r="AB277" s="5" t="s">
        <v>711</v>
      </c>
      <c r="AD277" s="5" t="s">
        <v>542</v>
      </c>
      <c r="AI277" s="5" t="s">
        <v>2051</v>
      </c>
      <c r="AJ277" s="5" t="s">
        <v>2052</v>
      </c>
      <c r="AM277" s="5" t="s">
        <v>1940</v>
      </c>
    </row>
    <row r="278" spans="1:39" ht="15.75" customHeight="1" x14ac:dyDescent="0.3">
      <c r="A278" s="5">
        <v>272</v>
      </c>
      <c r="B278" s="5" t="s">
        <v>2053</v>
      </c>
      <c r="C278" s="5" t="s">
        <v>1299</v>
      </c>
      <c r="D278" s="5" t="s">
        <v>533</v>
      </c>
      <c r="F278" s="5" t="s">
        <v>534</v>
      </c>
      <c r="G278" s="5" t="s">
        <v>535</v>
      </c>
      <c r="H278" s="5" t="s">
        <v>2044</v>
      </c>
      <c r="Q278" s="5" t="s">
        <v>470</v>
      </c>
      <c r="R278" s="5" t="s">
        <v>538</v>
      </c>
      <c r="S278" s="5">
        <v>70150101</v>
      </c>
      <c r="T278" s="5" t="s">
        <v>540</v>
      </c>
      <c r="U278" s="5">
        <v>21000</v>
      </c>
      <c r="W278" s="5" t="s">
        <v>474</v>
      </c>
      <c r="X278" s="10"/>
      <c r="Y278" s="10"/>
      <c r="Z278" s="10"/>
      <c r="AA278" s="10"/>
      <c r="AB278" s="5" t="s">
        <v>711</v>
      </c>
      <c r="AD278" s="5" t="s">
        <v>542</v>
      </c>
      <c r="AI278" s="5" t="s">
        <v>2054</v>
      </c>
      <c r="AJ278" s="5" t="s">
        <v>2055</v>
      </c>
      <c r="AM278" s="5" t="s">
        <v>1940</v>
      </c>
    </row>
    <row r="279" spans="1:39" ht="15.75" customHeight="1" x14ac:dyDescent="0.3">
      <c r="A279" s="5">
        <v>273</v>
      </c>
      <c r="B279" s="5" t="s">
        <v>2056</v>
      </c>
      <c r="C279" s="5" t="s">
        <v>1299</v>
      </c>
      <c r="D279" s="5" t="s">
        <v>533</v>
      </c>
      <c r="F279" s="5" t="s">
        <v>534</v>
      </c>
      <c r="G279" s="5" t="s">
        <v>535</v>
      </c>
      <c r="H279" s="5" t="s">
        <v>2044</v>
      </c>
      <c r="Q279" s="5" t="s">
        <v>470</v>
      </c>
      <c r="R279" s="5" t="s">
        <v>493</v>
      </c>
      <c r="S279" s="5">
        <v>70170101</v>
      </c>
      <c r="T279" s="5" t="s">
        <v>494</v>
      </c>
      <c r="U279" s="5">
        <v>21000</v>
      </c>
      <c r="W279" s="5" t="s">
        <v>474</v>
      </c>
      <c r="X279" s="10"/>
      <c r="Y279" s="10"/>
      <c r="Z279" s="10"/>
      <c r="AA279" s="10"/>
      <c r="AB279" s="5" t="s">
        <v>711</v>
      </c>
      <c r="AD279" s="5" t="s">
        <v>542</v>
      </c>
      <c r="AI279" s="5" t="s">
        <v>2057</v>
      </c>
      <c r="AJ279" s="5" t="s">
        <v>2058</v>
      </c>
      <c r="AM279" s="5" t="s">
        <v>1940</v>
      </c>
    </row>
    <row r="280" spans="1:39" ht="15.75" customHeight="1" x14ac:dyDescent="0.3">
      <c r="A280" s="5">
        <v>274</v>
      </c>
      <c r="B280" s="5" t="s">
        <v>2059</v>
      </c>
      <c r="C280" s="5" t="s">
        <v>1299</v>
      </c>
      <c r="D280" s="5" t="s">
        <v>533</v>
      </c>
      <c r="F280" s="5" t="s">
        <v>534</v>
      </c>
      <c r="G280" s="5" t="s">
        <v>535</v>
      </c>
      <c r="H280" s="5" t="s">
        <v>2044</v>
      </c>
      <c r="Q280" s="5" t="s">
        <v>470</v>
      </c>
      <c r="R280" s="5" t="s">
        <v>726</v>
      </c>
      <c r="S280" s="5">
        <v>70190101</v>
      </c>
      <c r="T280" s="5" t="s">
        <v>727</v>
      </c>
      <c r="U280" s="5">
        <v>21000</v>
      </c>
      <c r="W280" s="5" t="s">
        <v>474</v>
      </c>
      <c r="X280" s="10"/>
      <c r="Y280" s="10"/>
      <c r="Z280" s="10"/>
      <c r="AA280" s="10"/>
      <c r="AB280" s="5" t="s">
        <v>711</v>
      </c>
      <c r="AD280" s="5" t="s">
        <v>542</v>
      </c>
      <c r="AI280" s="5" t="s">
        <v>2060</v>
      </c>
      <c r="AJ280" s="5" t="s">
        <v>2061</v>
      </c>
      <c r="AM280" s="5" t="s">
        <v>1940</v>
      </c>
    </row>
    <row r="281" spans="1:39" ht="15.75" customHeight="1" x14ac:dyDescent="0.3">
      <c r="A281" s="5">
        <v>275</v>
      </c>
      <c r="B281" s="5" t="s">
        <v>2062</v>
      </c>
      <c r="C281" s="5" t="s">
        <v>1299</v>
      </c>
      <c r="D281" s="5" t="s">
        <v>533</v>
      </c>
      <c r="F281" s="5" t="s">
        <v>534</v>
      </c>
      <c r="G281" s="5" t="s">
        <v>535</v>
      </c>
      <c r="H281" s="5" t="s">
        <v>2044</v>
      </c>
      <c r="Q281" s="5" t="s">
        <v>470</v>
      </c>
      <c r="R281" s="5" t="s">
        <v>510</v>
      </c>
      <c r="S281" s="5">
        <v>70180103</v>
      </c>
      <c r="T281" s="5" t="s">
        <v>511</v>
      </c>
      <c r="U281" s="5">
        <v>21000</v>
      </c>
      <c r="W281" s="5" t="s">
        <v>474</v>
      </c>
      <c r="X281" s="10"/>
      <c r="Y281" s="10"/>
      <c r="Z281" s="10"/>
      <c r="AA281" s="10"/>
      <c r="AB281" s="5" t="s">
        <v>711</v>
      </c>
      <c r="AD281" s="5" t="s">
        <v>542</v>
      </c>
      <c r="AI281" s="5" t="s">
        <v>2063</v>
      </c>
      <c r="AJ281" s="5" t="s">
        <v>2064</v>
      </c>
      <c r="AM281" s="5" t="s">
        <v>1940</v>
      </c>
    </row>
    <row r="282" spans="1:39" ht="15.75" customHeight="1" x14ac:dyDescent="0.3">
      <c r="A282" s="5">
        <v>276</v>
      </c>
      <c r="B282" s="5" t="s">
        <v>2065</v>
      </c>
      <c r="C282" s="5" t="s">
        <v>1299</v>
      </c>
      <c r="D282" s="5" t="s">
        <v>533</v>
      </c>
      <c r="F282" s="5" t="s">
        <v>534</v>
      </c>
      <c r="G282" s="5" t="s">
        <v>535</v>
      </c>
      <c r="H282" s="5" t="s">
        <v>2066</v>
      </c>
      <c r="Q282" s="5" t="s">
        <v>470</v>
      </c>
      <c r="R282" s="5" t="s">
        <v>774</v>
      </c>
      <c r="S282" s="5">
        <v>70110101</v>
      </c>
      <c r="T282" s="5" t="s">
        <v>775</v>
      </c>
      <c r="U282" s="5">
        <v>21000</v>
      </c>
      <c r="W282" s="5" t="s">
        <v>474</v>
      </c>
      <c r="X282" s="10"/>
      <c r="Y282" s="10"/>
      <c r="Z282" s="10"/>
      <c r="AA282" s="10"/>
      <c r="AB282" s="5" t="s">
        <v>711</v>
      </c>
      <c r="AD282" s="5" t="s">
        <v>542</v>
      </c>
      <c r="AI282" s="5" t="s">
        <v>2067</v>
      </c>
      <c r="AJ282" s="5" t="s">
        <v>2068</v>
      </c>
      <c r="AM282" s="5" t="s">
        <v>1940</v>
      </c>
    </row>
    <row r="283" spans="1:39" ht="15.75" customHeight="1" x14ac:dyDescent="0.3">
      <c r="A283" s="5">
        <v>277</v>
      </c>
      <c r="B283" s="5" t="s">
        <v>2069</v>
      </c>
      <c r="C283" s="5" t="s">
        <v>1299</v>
      </c>
      <c r="D283" s="5" t="s">
        <v>533</v>
      </c>
      <c r="F283" s="5" t="s">
        <v>534</v>
      </c>
      <c r="G283" s="5" t="s">
        <v>535</v>
      </c>
      <c r="H283" s="5" t="s">
        <v>2070</v>
      </c>
      <c r="Q283" s="5" t="s">
        <v>470</v>
      </c>
      <c r="R283" s="5" t="s">
        <v>559</v>
      </c>
      <c r="S283" s="5">
        <v>10110104</v>
      </c>
      <c r="T283" s="5" t="s">
        <v>2071</v>
      </c>
      <c r="U283" s="5">
        <v>21000</v>
      </c>
      <c r="W283" s="5" t="s">
        <v>474</v>
      </c>
      <c r="X283" s="10"/>
      <c r="Y283" s="10"/>
      <c r="Z283" s="10"/>
      <c r="AA283" s="10"/>
      <c r="AB283" s="5" t="s">
        <v>711</v>
      </c>
      <c r="AD283" s="5" t="s">
        <v>542</v>
      </c>
      <c r="AI283" s="5" t="s">
        <v>2072</v>
      </c>
      <c r="AJ283" s="5" t="s">
        <v>2073</v>
      </c>
      <c r="AM283" s="5" t="s">
        <v>2074</v>
      </c>
    </row>
    <row r="284" spans="1:39" ht="15.75" customHeight="1" x14ac:dyDescent="0.3">
      <c r="A284" s="5">
        <v>278</v>
      </c>
      <c r="B284" s="5" t="s">
        <v>2075</v>
      </c>
      <c r="C284" s="5" t="s">
        <v>1299</v>
      </c>
      <c r="D284" s="5" t="s">
        <v>533</v>
      </c>
      <c r="F284" s="5" t="s">
        <v>534</v>
      </c>
      <c r="G284" s="5" t="s">
        <v>535</v>
      </c>
      <c r="H284" s="5" t="s">
        <v>2076</v>
      </c>
      <c r="Q284" s="5" t="s">
        <v>470</v>
      </c>
      <c r="R284" s="5" t="s">
        <v>559</v>
      </c>
      <c r="S284" s="5">
        <v>10110204</v>
      </c>
      <c r="T284" s="5" t="s">
        <v>561</v>
      </c>
      <c r="U284" s="5">
        <v>21000</v>
      </c>
      <c r="W284" s="5" t="s">
        <v>474</v>
      </c>
      <c r="X284" s="10"/>
      <c r="Y284" s="10"/>
      <c r="Z284" s="10"/>
      <c r="AA284" s="10"/>
      <c r="AB284" s="5" t="s">
        <v>711</v>
      </c>
      <c r="AD284" s="5" t="s">
        <v>542</v>
      </c>
      <c r="AI284" s="5" t="s">
        <v>2077</v>
      </c>
      <c r="AJ284" s="5" t="s">
        <v>2078</v>
      </c>
      <c r="AM284" s="5" t="s">
        <v>2079</v>
      </c>
    </row>
    <row r="285" spans="1:39" ht="15.75" customHeight="1" x14ac:dyDescent="0.3">
      <c r="A285" s="5">
        <v>279</v>
      </c>
      <c r="B285" s="5" t="s">
        <v>2080</v>
      </c>
      <c r="C285" s="5" t="s">
        <v>1299</v>
      </c>
      <c r="D285" s="5" t="s">
        <v>676</v>
      </c>
      <c r="H285" s="5" t="s">
        <v>2081</v>
      </c>
      <c r="Q285" s="5" t="s">
        <v>470</v>
      </c>
      <c r="R285" s="5" t="s">
        <v>803</v>
      </c>
      <c r="S285" s="5">
        <v>10110101</v>
      </c>
      <c r="T285" s="5" t="s">
        <v>1209</v>
      </c>
      <c r="U285" s="5">
        <v>20000</v>
      </c>
      <c r="W285" s="5" t="s">
        <v>474</v>
      </c>
      <c r="X285" s="6">
        <v>46174</v>
      </c>
      <c r="Y285" s="6">
        <v>46315</v>
      </c>
      <c r="Z285" s="10"/>
      <c r="AA285" s="10"/>
      <c r="AB285" s="5" t="s">
        <v>531</v>
      </c>
      <c r="AD285" s="5" t="s">
        <v>496</v>
      </c>
      <c r="AI285" s="5" t="s">
        <v>2082</v>
      </c>
      <c r="AJ285" s="5" t="s">
        <v>2083</v>
      </c>
      <c r="AM285" s="5" t="s">
        <v>2084</v>
      </c>
    </row>
    <row r="286" spans="1:39" ht="15.75" customHeight="1" x14ac:dyDescent="0.3">
      <c r="A286" s="5">
        <v>280</v>
      </c>
      <c r="B286" s="5" t="s">
        <v>2085</v>
      </c>
      <c r="C286" s="5" t="s">
        <v>1299</v>
      </c>
      <c r="D286" s="5" t="s">
        <v>2086</v>
      </c>
      <c r="F286" s="5" t="s">
        <v>534</v>
      </c>
      <c r="G286" s="5" t="s">
        <v>535</v>
      </c>
      <c r="H286" s="5" t="s">
        <v>2087</v>
      </c>
      <c r="Q286" s="5" t="s">
        <v>470</v>
      </c>
      <c r="R286" s="5" t="s">
        <v>803</v>
      </c>
      <c r="S286" s="5">
        <v>10110101</v>
      </c>
      <c r="T286" s="5" t="s">
        <v>1209</v>
      </c>
      <c r="U286" s="5">
        <v>40000</v>
      </c>
      <c r="W286" s="5" t="s">
        <v>474</v>
      </c>
      <c r="X286" s="6">
        <v>46174</v>
      </c>
      <c r="Y286" s="6">
        <v>46315</v>
      </c>
      <c r="Z286" s="10"/>
      <c r="AA286" s="10"/>
      <c r="AB286" s="5" t="s">
        <v>531</v>
      </c>
      <c r="AD286" s="5" t="s">
        <v>542</v>
      </c>
      <c r="AI286" s="5" t="s">
        <v>2088</v>
      </c>
      <c r="AJ286" s="5" t="s">
        <v>2089</v>
      </c>
      <c r="AM286" s="5" t="s">
        <v>2090</v>
      </c>
    </row>
    <row r="287" spans="1:39" ht="15.75" customHeight="1" x14ac:dyDescent="0.3">
      <c r="A287" s="5">
        <v>281</v>
      </c>
      <c r="B287" s="5" t="s">
        <v>2091</v>
      </c>
      <c r="C287" s="5" t="s">
        <v>1299</v>
      </c>
      <c r="D287" s="5" t="s">
        <v>582</v>
      </c>
      <c r="F287" s="5" t="s">
        <v>583</v>
      </c>
      <c r="G287" s="5" t="s">
        <v>584</v>
      </c>
      <c r="H287" s="5" t="s">
        <v>2092</v>
      </c>
      <c r="Q287" s="5" t="s">
        <v>470</v>
      </c>
      <c r="R287" s="5" t="s">
        <v>559</v>
      </c>
      <c r="S287" s="5">
        <v>10110205</v>
      </c>
      <c r="T287" s="5" t="s">
        <v>850</v>
      </c>
      <c r="U287" s="5">
        <v>25000</v>
      </c>
      <c r="V287" s="5">
        <v>20854.400000000001</v>
      </c>
      <c r="W287" s="5" t="s">
        <v>512</v>
      </c>
      <c r="X287" s="6">
        <v>46082</v>
      </c>
      <c r="Y287" s="6">
        <v>46125</v>
      </c>
      <c r="Z287" s="6">
        <v>46082</v>
      </c>
      <c r="AA287" s="6">
        <v>46138</v>
      </c>
      <c r="AB287" s="5" t="s">
        <v>478</v>
      </c>
      <c r="AC287" s="5" t="s">
        <v>531</v>
      </c>
      <c r="AD287" s="5" t="s">
        <v>496</v>
      </c>
      <c r="AE287" s="5" t="s">
        <v>2093</v>
      </c>
      <c r="AF287" s="11">
        <v>46064</v>
      </c>
      <c r="AG287" s="5" t="s">
        <v>2094</v>
      </c>
      <c r="AH287" s="11">
        <v>46092</v>
      </c>
      <c r="AI287" s="5" t="s">
        <v>2095</v>
      </c>
      <c r="AJ287" s="5" t="s">
        <v>2096</v>
      </c>
      <c r="AM287" s="5" t="s">
        <v>2097</v>
      </c>
    </row>
    <row r="288" spans="1:39" ht="15.75" customHeight="1" x14ac:dyDescent="0.3">
      <c r="A288" s="5">
        <v>282</v>
      </c>
      <c r="B288" s="5" t="s">
        <v>2098</v>
      </c>
      <c r="C288" s="5" t="s">
        <v>1299</v>
      </c>
      <c r="D288" s="5" t="s">
        <v>485</v>
      </c>
      <c r="F288" s="5" t="s">
        <v>486</v>
      </c>
      <c r="G288" s="5" t="s">
        <v>487</v>
      </c>
      <c r="H288" s="5" t="s">
        <v>2099</v>
      </c>
      <c r="Q288" s="5" t="s">
        <v>470</v>
      </c>
      <c r="R288" s="5" t="s">
        <v>559</v>
      </c>
      <c r="S288" s="5">
        <v>10110205</v>
      </c>
      <c r="T288" s="5" t="s">
        <v>850</v>
      </c>
      <c r="U288" s="5">
        <v>102000</v>
      </c>
      <c r="V288" s="5">
        <v>102000</v>
      </c>
      <c r="W288" s="5" t="s">
        <v>512</v>
      </c>
      <c r="X288" s="6">
        <v>46235</v>
      </c>
      <c r="Y288" s="6">
        <v>46264</v>
      </c>
      <c r="Z288" s="10"/>
      <c r="AA288" s="10"/>
      <c r="AB288" s="5" t="s">
        <v>478</v>
      </c>
      <c r="AD288" s="5" t="s">
        <v>496</v>
      </c>
      <c r="AI288" s="5" t="s">
        <v>2100</v>
      </c>
      <c r="AJ288" s="5" t="s">
        <v>2101</v>
      </c>
      <c r="AM288" s="5" t="s">
        <v>2102</v>
      </c>
    </row>
    <row r="289" spans="1:39" ht="15.75" customHeight="1" x14ac:dyDescent="0.3">
      <c r="A289" s="5">
        <v>283</v>
      </c>
      <c r="B289" s="5" t="s">
        <v>2103</v>
      </c>
      <c r="C289" s="5" t="s">
        <v>1299</v>
      </c>
      <c r="D289" s="5" t="s">
        <v>582</v>
      </c>
      <c r="F289" s="5" t="s">
        <v>583</v>
      </c>
      <c r="G289" s="5" t="s">
        <v>584</v>
      </c>
      <c r="H289" s="5" t="s">
        <v>2104</v>
      </c>
      <c r="Q289" s="5" t="s">
        <v>470</v>
      </c>
      <c r="R289" s="5" t="s">
        <v>559</v>
      </c>
      <c r="S289" s="5">
        <v>10110204</v>
      </c>
      <c r="T289" s="5" t="s">
        <v>561</v>
      </c>
      <c r="U289" s="5">
        <v>25000</v>
      </c>
      <c r="V289" s="5">
        <v>38699.185599999997</v>
      </c>
      <c r="W289" s="5" t="s">
        <v>512</v>
      </c>
      <c r="X289" s="6">
        <v>46143</v>
      </c>
      <c r="Y289" s="6">
        <v>46265</v>
      </c>
      <c r="Z289" s="10"/>
      <c r="AA289" s="10"/>
      <c r="AB289" s="5" t="s">
        <v>478</v>
      </c>
      <c r="AD289" s="5" t="s">
        <v>496</v>
      </c>
      <c r="AE289" s="5" t="s">
        <v>2105</v>
      </c>
      <c r="AF289" s="11">
        <v>46076</v>
      </c>
      <c r="AG289" s="5" t="s">
        <v>2106</v>
      </c>
      <c r="AH289" s="11">
        <v>46218</v>
      </c>
      <c r="AI289" s="5" t="s">
        <v>2107</v>
      </c>
      <c r="AJ289" s="5" t="s">
        <v>2096</v>
      </c>
      <c r="AM289" s="5" t="s">
        <v>1743</v>
      </c>
    </row>
    <row r="290" spans="1:39" ht="15.75" customHeight="1" x14ac:dyDescent="0.3">
      <c r="A290" s="5">
        <v>284</v>
      </c>
      <c r="B290" s="5" t="s">
        <v>2108</v>
      </c>
      <c r="C290" s="5" t="s">
        <v>1299</v>
      </c>
      <c r="D290" s="5" t="s">
        <v>485</v>
      </c>
      <c r="H290" s="5" t="s">
        <v>2109</v>
      </c>
      <c r="Q290" s="5" t="s">
        <v>470</v>
      </c>
      <c r="R290" s="5" t="s">
        <v>649</v>
      </c>
      <c r="S290" s="5">
        <v>10220106</v>
      </c>
      <c r="T290" s="5" t="s">
        <v>651</v>
      </c>
      <c r="U290" s="5">
        <v>53000</v>
      </c>
      <c r="W290" s="5" t="s">
        <v>512</v>
      </c>
      <c r="X290" s="6">
        <v>46204</v>
      </c>
      <c r="Y290" s="6">
        <v>46325</v>
      </c>
      <c r="Z290" s="10"/>
      <c r="AA290" s="10"/>
      <c r="AB290" s="5" t="s">
        <v>514</v>
      </c>
      <c r="AD290" s="5" t="s">
        <v>496</v>
      </c>
      <c r="AI290" s="5" t="s">
        <v>2110</v>
      </c>
      <c r="AJ290" s="5" t="s">
        <v>2111</v>
      </c>
      <c r="AM290" s="5" t="s">
        <v>2112</v>
      </c>
    </row>
    <row r="291" spans="1:39" ht="15.75" customHeight="1" x14ac:dyDescent="0.3">
      <c r="B291" s="5" t="s">
        <v>2113</v>
      </c>
      <c r="C291" s="5" t="s">
        <v>1299</v>
      </c>
      <c r="D291" s="5" t="s">
        <v>1197</v>
      </c>
      <c r="F291" s="5" t="s">
        <v>1198</v>
      </c>
      <c r="G291" s="5" t="s">
        <v>1199</v>
      </c>
      <c r="H291" s="5" t="s">
        <v>2114</v>
      </c>
      <c r="I291" s="5" t="s">
        <v>2115</v>
      </c>
      <c r="J291" s="5" t="s">
        <v>2115</v>
      </c>
      <c r="K291" s="5" t="s">
        <v>2115</v>
      </c>
      <c r="L291" s="5" t="s">
        <v>2115</v>
      </c>
      <c r="M291" s="5" t="s">
        <v>2115</v>
      </c>
      <c r="N291" s="5" t="s">
        <v>2115</v>
      </c>
      <c r="O291" s="5" t="s">
        <v>2115</v>
      </c>
      <c r="P291" s="5" t="s">
        <v>2115</v>
      </c>
      <c r="Q291" s="5" t="s">
        <v>2115</v>
      </c>
      <c r="R291" s="5" t="s">
        <v>471</v>
      </c>
      <c r="S291" s="5">
        <v>10220105</v>
      </c>
      <c r="T291" s="5" t="s">
        <v>2116</v>
      </c>
      <c r="U291" s="5">
        <v>3292.2</v>
      </c>
      <c r="V291" s="5">
        <v>3292.2</v>
      </c>
      <c r="W291" s="5" t="s">
        <v>512</v>
      </c>
      <c r="X291" s="6">
        <v>46218</v>
      </c>
      <c r="Y291" s="6">
        <v>46264</v>
      </c>
      <c r="Z291" s="6">
        <v>46218</v>
      </c>
      <c r="AA291" s="10"/>
      <c r="AB291" s="5" t="s">
        <v>478</v>
      </c>
      <c r="AD291" s="5" t="s">
        <v>1201</v>
      </c>
      <c r="AE291" s="5" t="s">
        <v>2117</v>
      </c>
      <c r="AF291" s="11">
        <v>46213</v>
      </c>
      <c r="AG291" s="5" t="s">
        <v>2118</v>
      </c>
      <c r="AH291" s="11">
        <v>46216</v>
      </c>
      <c r="AI291" s="5" t="s">
        <v>2119</v>
      </c>
      <c r="AJ291" s="5" t="s">
        <v>2120</v>
      </c>
      <c r="AL291" s="5" t="s">
        <v>2121</v>
      </c>
      <c r="AM291" s="5" t="s">
        <v>2122</v>
      </c>
    </row>
    <row r="292" spans="1:39" ht="15.75" customHeight="1" x14ac:dyDescent="0.3">
      <c r="B292" s="5" t="s">
        <v>2123</v>
      </c>
      <c r="C292" s="5" t="s">
        <v>1299</v>
      </c>
      <c r="D292" s="5" t="s">
        <v>1197</v>
      </c>
      <c r="F292" s="5" t="s">
        <v>1198</v>
      </c>
      <c r="G292" s="5" t="s">
        <v>1199</v>
      </c>
      <c r="H292" s="5" t="s">
        <v>2124</v>
      </c>
      <c r="R292" s="5" t="s">
        <v>588</v>
      </c>
      <c r="S292" s="5">
        <v>10220108</v>
      </c>
      <c r="T292" s="5" t="s">
        <v>2125</v>
      </c>
      <c r="U292" s="5">
        <v>3292.2</v>
      </c>
      <c r="V292" s="5">
        <v>3292.2</v>
      </c>
      <c r="W292" s="5" t="s">
        <v>512</v>
      </c>
      <c r="X292" s="6">
        <v>46218</v>
      </c>
      <c r="Y292" s="6">
        <v>46264</v>
      </c>
      <c r="Z292" s="6">
        <v>46218</v>
      </c>
      <c r="AA292" s="10"/>
      <c r="AB292" s="5" t="s">
        <v>478</v>
      </c>
      <c r="AD292" s="5" t="s">
        <v>1201</v>
      </c>
      <c r="AE292" s="5" t="s">
        <v>2126</v>
      </c>
      <c r="AF292" s="11">
        <v>46213</v>
      </c>
      <c r="AG292" s="5" t="s">
        <v>2118</v>
      </c>
      <c r="AH292" s="11">
        <v>46216</v>
      </c>
      <c r="AI292" s="5" t="s">
        <v>2127</v>
      </c>
      <c r="AJ292" s="5" t="s">
        <v>2128</v>
      </c>
      <c r="AL292" s="5" t="s">
        <v>2121</v>
      </c>
    </row>
    <row r="293" spans="1:39" ht="15.75" customHeight="1" x14ac:dyDescent="0.3">
      <c r="B293" s="5" t="s">
        <v>2129</v>
      </c>
      <c r="C293" s="5" t="s">
        <v>1299</v>
      </c>
      <c r="D293" s="5" t="s">
        <v>1197</v>
      </c>
      <c r="F293" s="5" t="s">
        <v>1198</v>
      </c>
      <c r="G293" s="5" t="s">
        <v>1199</v>
      </c>
      <c r="H293" s="5" t="s">
        <v>2130</v>
      </c>
      <c r="R293" s="5" t="s">
        <v>559</v>
      </c>
      <c r="S293" s="5">
        <v>10110201</v>
      </c>
      <c r="T293" s="5" t="s">
        <v>2131</v>
      </c>
      <c r="U293" s="5">
        <v>3292.2</v>
      </c>
      <c r="V293" s="5">
        <v>3292.2</v>
      </c>
      <c r="W293" s="5" t="s">
        <v>512</v>
      </c>
      <c r="X293" s="6">
        <v>46218</v>
      </c>
      <c r="Y293" s="6">
        <v>46264</v>
      </c>
      <c r="Z293" s="6">
        <v>46218</v>
      </c>
      <c r="AA293" s="10"/>
      <c r="AB293" s="5" t="s">
        <v>478</v>
      </c>
      <c r="AD293" s="5" t="s">
        <v>1201</v>
      </c>
      <c r="AE293" s="5" t="s">
        <v>2132</v>
      </c>
      <c r="AF293" s="11">
        <v>46213</v>
      </c>
      <c r="AG293" s="5" t="s">
        <v>2118</v>
      </c>
      <c r="AH293" s="11">
        <v>46216</v>
      </c>
      <c r="AI293" s="5" t="s">
        <v>2133</v>
      </c>
      <c r="AJ293" s="5" t="s">
        <v>2134</v>
      </c>
      <c r="AL293" s="5" t="s">
        <v>2121</v>
      </c>
    </row>
    <row r="294" spans="1:39" ht="15.75" customHeight="1" x14ac:dyDescent="0.3">
      <c r="B294" s="5" t="s">
        <v>2135</v>
      </c>
      <c r="C294" s="5" t="s">
        <v>1299</v>
      </c>
      <c r="D294" s="5" t="s">
        <v>1197</v>
      </c>
      <c r="F294" s="5" t="s">
        <v>1198</v>
      </c>
      <c r="G294" s="5" t="s">
        <v>1199</v>
      </c>
      <c r="H294" s="5" t="s">
        <v>2136</v>
      </c>
      <c r="R294" s="5" t="s">
        <v>559</v>
      </c>
      <c r="S294" s="5">
        <v>10110102</v>
      </c>
      <c r="T294" s="5" t="s">
        <v>2137</v>
      </c>
      <c r="U294" s="5">
        <v>3292.2</v>
      </c>
      <c r="V294" s="5">
        <v>3292.2</v>
      </c>
      <c r="W294" s="5" t="s">
        <v>512</v>
      </c>
      <c r="X294" s="6">
        <v>46218</v>
      </c>
      <c r="Y294" s="6">
        <v>46264</v>
      </c>
      <c r="Z294" s="6">
        <v>46218</v>
      </c>
      <c r="AA294" s="10"/>
      <c r="AB294" s="5" t="s">
        <v>478</v>
      </c>
      <c r="AD294" s="5" t="s">
        <v>1201</v>
      </c>
      <c r="AE294" s="5" t="s">
        <v>2138</v>
      </c>
      <c r="AF294" s="11">
        <v>46213</v>
      </c>
      <c r="AG294" s="5" t="s">
        <v>2118</v>
      </c>
      <c r="AH294" s="11">
        <v>46216</v>
      </c>
      <c r="AI294" s="5" t="s">
        <v>2139</v>
      </c>
      <c r="AJ294" s="5" t="s">
        <v>2140</v>
      </c>
      <c r="AL294" s="5" t="s">
        <v>2121</v>
      </c>
    </row>
    <row r="295" spans="1:39" ht="15.75" customHeight="1" x14ac:dyDescent="0.3">
      <c r="B295" s="5" t="s">
        <v>2141</v>
      </c>
      <c r="C295" s="5" t="s">
        <v>1299</v>
      </c>
      <c r="D295" s="5" t="s">
        <v>1197</v>
      </c>
      <c r="F295" s="5" t="s">
        <v>1198</v>
      </c>
      <c r="G295" s="5" t="s">
        <v>1199</v>
      </c>
      <c r="H295" s="5" t="s">
        <v>2142</v>
      </c>
      <c r="R295" s="5" t="s">
        <v>559</v>
      </c>
      <c r="S295" s="5">
        <v>10110206</v>
      </c>
      <c r="T295" s="5" t="s">
        <v>1485</v>
      </c>
      <c r="U295" s="5">
        <v>3292.2</v>
      </c>
      <c r="V295" s="5">
        <v>3292.2</v>
      </c>
      <c r="W295" s="5" t="s">
        <v>512</v>
      </c>
      <c r="X295" s="6">
        <v>46218</v>
      </c>
      <c r="Y295" s="6">
        <v>46264</v>
      </c>
      <c r="Z295" s="6">
        <v>46218</v>
      </c>
      <c r="AA295" s="10"/>
      <c r="AB295" s="5" t="s">
        <v>478</v>
      </c>
      <c r="AD295" s="5" t="s">
        <v>1201</v>
      </c>
      <c r="AE295" s="5" t="s">
        <v>2143</v>
      </c>
      <c r="AF295" s="11">
        <v>46213</v>
      </c>
      <c r="AG295" s="5" t="s">
        <v>2118</v>
      </c>
      <c r="AH295" s="11">
        <v>46216</v>
      </c>
      <c r="AI295" s="5" t="s">
        <v>2144</v>
      </c>
      <c r="AJ295" s="5" t="s">
        <v>2145</v>
      </c>
      <c r="AL295" s="5" t="s">
        <v>2121</v>
      </c>
    </row>
    <row r="296" spans="1:39" ht="15.75" customHeight="1" x14ac:dyDescent="0.3">
      <c r="B296" s="5" t="s">
        <v>2146</v>
      </c>
      <c r="C296" s="5" t="s">
        <v>1299</v>
      </c>
      <c r="D296" s="5" t="s">
        <v>1197</v>
      </c>
      <c r="F296" s="5" t="s">
        <v>1198</v>
      </c>
      <c r="G296" s="5" t="s">
        <v>1199</v>
      </c>
      <c r="H296" s="5" t="s">
        <v>2147</v>
      </c>
      <c r="R296" s="5" t="s">
        <v>774</v>
      </c>
      <c r="S296" s="5">
        <v>70110103</v>
      </c>
      <c r="T296" s="5" t="s">
        <v>2148</v>
      </c>
      <c r="U296" s="5">
        <v>3292.2</v>
      </c>
      <c r="V296" s="5">
        <v>3292.2</v>
      </c>
      <c r="W296" s="5" t="s">
        <v>512</v>
      </c>
      <c r="X296" s="6">
        <v>46218</v>
      </c>
      <c r="Y296" s="6">
        <v>46264</v>
      </c>
      <c r="Z296" s="6">
        <v>46218</v>
      </c>
      <c r="AA296" s="10"/>
      <c r="AB296" s="5" t="s">
        <v>478</v>
      </c>
      <c r="AD296" s="5" t="s">
        <v>1201</v>
      </c>
      <c r="AE296" s="5" t="s">
        <v>2149</v>
      </c>
      <c r="AF296" s="11">
        <v>46213</v>
      </c>
      <c r="AG296" s="5" t="s">
        <v>2118</v>
      </c>
      <c r="AH296" s="11">
        <v>46216</v>
      </c>
      <c r="AI296" s="5" t="s">
        <v>2150</v>
      </c>
      <c r="AJ296" s="5" t="s">
        <v>2151</v>
      </c>
      <c r="AL296" s="5" t="s">
        <v>2121</v>
      </c>
    </row>
    <row r="297" spans="1:39" ht="15.75" customHeight="1" x14ac:dyDescent="0.3">
      <c r="B297" s="5" t="s">
        <v>2152</v>
      </c>
      <c r="C297" s="5" t="s">
        <v>1299</v>
      </c>
      <c r="D297" s="5" t="s">
        <v>1197</v>
      </c>
      <c r="F297" s="5" t="s">
        <v>1198</v>
      </c>
      <c r="G297" s="5" t="s">
        <v>1199</v>
      </c>
      <c r="H297" s="5" t="s">
        <v>2153</v>
      </c>
      <c r="R297" s="5" t="s">
        <v>774</v>
      </c>
      <c r="S297" s="5">
        <v>70110107</v>
      </c>
      <c r="T297" s="5" t="s">
        <v>896</v>
      </c>
      <c r="U297" s="5">
        <v>3292.2</v>
      </c>
      <c r="V297" s="5">
        <v>3292.2</v>
      </c>
      <c r="W297" s="5" t="s">
        <v>512</v>
      </c>
      <c r="X297" s="6">
        <v>46218</v>
      </c>
      <c r="Y297" s="6">
        <v>46264</v>
      </c>
      <c r="Z297" s="6">
        <v>46218</v>
      </c>
      <c r="AA297" s="10"/>
      <c r="AB297" s="5" t="s">
        <v>478</v>
      </c>
      <c r="AD297" s="5" t="s">
        <v>1201</v>
      </c>
      <c r="AE297" s="5" t="s">
        <v>2154</v>
      </c>
      <c r="AF297" s="11">
        <v>46213</v>
      </c>
      <c r="AG297" s="5" t="s">
        <v>2118</v>
      </c>
      <c r="AH297" s="11">
        <v>46216</v>
      </c>
      <c r="AI297" s="5" t="s">
        <v>2155</v>
      </c>
      <c r="AJ297" s="5" t="s">
        <v>2156</v>
      </c>
      <c r="AL297" s="5" t="s">
        <v>2121</v>
      </c>
    </row>
    <row r="298" spans="1:39" ht="15.75" customHeight="1" x14ac:dyDescent="0.3">
      <c r="B298" s="5" t="s">
        <v>2157</v>
      </c>
      <c r="C298" s="5" t="s">
        <v>1299</v>
      </c>
      <c r="D298" s="5" t="s">
        <v>1197</v>
      </c>
      <c r="F298" s="5" t="s">
        <v>1198</v>
      </c>
      <c r="G298" s="5" t="s">
        <v>1199</v>
      </c>
      <c r="H298" s="5" t="s">
        <v>2158</v>
      </c>
      <c r="R298" s="5" t="s">
        <v>774</v>
      </c>
      <c r="S298" s="5">
        <v>70110106</v>
      </c>
      <c r="T298" s="5" t="s">
        <v>2159</v>
      </c>
      <c r="U298" s="5">
        <v>3292.2</v>
      </c>
      <c r="V298" s="5">
        <v>3292.2</v>
      </c>
      <c r="W298" s="5" t="s">
        <v>512</v>
      </c>
      <c r="X298" s="6">
        <v>46218</v>
      </c>
      <c r="Y298" s="6">
        <v>46264</v>
      </c>
      <c r="Z298" s="6">
        <v>46218</v>
      </c>
      <c r="AA298" s="10"/>
      <c r="AB298" s="5" t="s">
        <v>478</v>
      </c>
      <c r="AD298" s="5" t="s">
        <v>1201</v>
      </c>
      <c r="AE298" s="5" t="s">
        <v>2160</v>
      </c>
      <c r="AF298" s="11">
        <v>46213</v>
      </c>
      <c r="AG298" s="5" t="s">
        <v>2118</v>
      </c>
      <c r="AH298" s="11">
        <v>46216</v>
      </c>
      <c r="AI298" s="5" t="s">
        <v>2161</v>
      </c>
      <c r="AJ298" s="5" t="s">
        <v>2162</v>
      </c>
      <c r="AL298" s="5" t="s">
        <v>2121</v>
      </c>
    </row>
    <row r="299" spans="1:39" ht="15.75" customHeight="1" x14ac:dyDescent="0.3">
      <c r="B299" s="5" t="s">
        <v>2163</v>
      </c>
      <c r="C299" s="5" t="s">
        <v>1299</v>
      </c>
      <c r="D299" s="5" t="s">
        <v>1197</v>
      </c>
      <c r="H299" s="5" t="s">
        <v>2164</v>
      </c>
      <c r="R299" s="5" t="s">
        <v>774</v>
      </c>
      <c r="S299" s="5">
        <v>70110101</v>
      </c>
      <c r="T299" s="5" t="s">
        <v>2165</v>
      </c>
      <c r="U299" s="5">
        <v>3292.2</v>
      </c>
      <c r="V299" s="5">
        <v>3292.2</v>
      </c>
      <c r="W299" s="5" t="s">
        <v>512</v>
      </c>
      <c r="X299" s="6">
        <v>46218</v>
      </c>
      <c r="Y299" s="6">
        <v>46264</v>
      </c>
      <c r="Z299" s="6">
        <v>46218</v>
      </c>
      <c r="AA299" s="10"/>
      <c r="AB299" s="5" t="s">
        <v>478</v>
      </c>
      <c r="AD299" s="5" t="s">
        <v>1201</v>
      </c>
      <c r="AE299" s="5" t="s">
        <v>2166</v>
      </c>
      <c r="AF299" s="11">
        <v>46213</v>
      </c>
      <c r="AG299" s="5" t="s">
        <v>2118</v>
      </c>
      <c r="AH299" s="11">
        <v>46216</v>
      </c>
      <c r="AI299" s="5" t="s">
        <v>2167</v>
      </c>
      <c r="AJ299" s="5" t="s">
        <v>2168</v>
      </c>
      <c r="AL299" s="5" t="s">
        <v>2121</v>
      </c>
    </row>
    <row r="300" spans="1:39" ht="15.75" customHeight="1" x14ac:dyDescent="0.3">
      <c r="B300" s="5" t="s">
        <v>2169</v>
      </c>
      <c r="C300" s="5" t="s">
        <v>1299</v>
      </c>
      <c r="D300" s="5" t="s">
        <v>1197</v>
      </c>
      <c r="H300" s="5" t="s">
        <v>2170</v>
      </c>
      <c r="R300" s="5" t="s">
        <v>811</v>
      </c>
      <c r="S300" s="5">
        <v>10110501</v>
      </c>
      <c r="T300" s="5" t="s">
        <v>2171</v>
      </c>
      <c r="U300" s="5">
        <v>3292.2</v>
      </c>
      <c r="V300" s="5">
        <v>3292.2</v>
      </c>
      <c r="W300" s="5" t="s">
        <v>512</v>
      </c>
      <c r="X300" s="6">
        <v>46218</v>
      </c>
      <c r="Y300" s="6">
        <v>46264</v>
      </c>
      <c r="Z300" s="6">
        <v>46218</v>
      </c>
      <c r="AA300" s="10"/>
      <c r="AB300" s="5" t="s">
        <v>478</v>
      </c>
      <c r="AD300" s="5" t="s">
        <v>1201</v>
      </c>
      <c r="AE300" s="5" t="s">
        <v>2172</v>
      </c>
      <c r="AF300" s="11">
        <v>46213</v>
      </c>
      <c r="AG300" s="5" t="s">
        <v>2118</v>
      </c>
      <c r="AH300" s="11">
        <v>46216</v>
      </c>
      <c r="AI300" s="5" t="s">
        <v>2173</v>
      </c>
      <c r="AJ300" s="5" t="s">
        <v>2174</v>
      </c>
      <c r="AL300" s="5" t="s">
        <v>2121</v>
      </c>
    </row>
    <row r="301" spans="1:39" ht="15.75" customHeight="1" x14ac:dyDescent="0.3"/>
    <row r="302" spans="1:39" ht="15.75" customHeight="1" x14ac:dyDescent="0.3"/>
    <row r="303" spans="1:39" ht="15.75" customHeight="1" x14ac:dyDescent="0.3"/>
    <row r="304" spans="1:39"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AB7:AB300" xr:uid="{00000000-0002-0000-0E00-000000000000}">
      <formula1>"EJECUTADO,EN PROCESO,PENDIENTE,CANCELADO"</formula1>
    </dataValidation>
  </dataValidations>
  <pageMargins left="0.75" right="0.75" top="1" bottom="1" header="0" footer="0"/>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1000"/>
  <sheetViews>
    <sheetView showGridLines="0" workbookViewId="0">
      <pane ySplit="4" topLeftCell="A5" activePane="bottomLeft" state="frozen"/>
      <selection pane="bottomLeft" activeCell="B6" sqref="B6"/>
    </sheetView>
  </sheetViews>
  <sheetFormatPr baseColWidth="10" defaultColWidth="14.44140625" defaultRowHeight="15" customHeight="1" x14ac:dyDescent="0.3"/>
  <cols>
    <col min="1" max="1" width="28" customWidth="1"/>
    <col min="2" max="13" width="14" customWidth="1"/>
    <col min="14" max="26" width="8.6640625" customWidth="1"/>
  </cols>
  <sheetData>
    <row r="1" spans="1:13" ht="30" customHeight="1" x14ac:dyDescent="0.3">
      <c r="A1" s="1" t="s">
        <v>687</v>
      </c>
      <c r="B1" s="1" t="s">
        <v>691</v>
      </c>
      <c r="C1" s="12"/>
      <c r="D1" s="12"/>
      <c r="E1" s="12"/>
      <c r="F1" s="12"/>
      <c r="G1" s="12"/>
      <c r="H1" s="12"/>
      <c r="I1" s="12"/>
      <c r="J1" s="12"/>
      <c r="K1" s="12"/>
      <c r="L1" s="12"/>
      <c r="M1" s="12"/>
    </row>
    <row r="3" spans="1:13" ht="14.4" x14ac:dyDescent="0.3">
      <c r="A3" s="5" t="s">
        <v>112</v>
      </c>
      <c r="B3" s="19" t="s">
        <v>700</v>
      </c>
      <c r="C3" s="20"/>
      <c r="D3" s="20"/>
      <c r="E3" s="20"/>
      <c r="F3" s="20"/>
      <c r="G3" s="20"/>
      <c r="H3" s="20"/>
      <c r="I3" s="20"/>
      <c r="J3" s="20"/>
      <c r="K3" s="20"/>
      <c r="L3" s="20"/>
      <c r="M3" s="21"/>
    </row>
    <row r="4" spans="1:13" ht="14.4" x14ac:dyDescent="0.3">
      <c r="A4" s="13" t="s">
        <v>253</v>
      </c>
      <c r="B4" s="13" t="s">
        <v>259</v>
      </c>
      <c r="C4" s="13" t="s">
        <v>260</v>
      </c>
      <c r="D4" s="13" t="s">
        <v>262</v>
      </c>
      <c r="E4" s="13" t="s">
        <v>263</v>
      </c>
      <c r="F4" s="13" t="s">
        <v>264</v>
      </c>
      <c r="G4" s="13" t="s">
        <v>265</v>
      </c>
      <c r="H4" s="13" t="s">
        <v>266</v>
      </c>
      <c r="I4" s="13" t="s">
        <v>268</v>
      </c>
      <c r="J4" s="13" t="s">
        <v>270</v>
      </c>
      <c r="K4" s="13" t="s">
        <v>271</v>
      </c>
      <c r="L4" s="13" t="s">
        <v>273</v>
      </c>
      <c r="M4" s="13" t="s">
        <v>276</v>
      </c>
    </row>
    <row r="5" spans="1:13" ht="14.4" x14ac:dyDescent="0.3">
      <c r="A5" s="5" t="s">
        <v>471</v>
      </c>
      <c r="B5" s="5">
        <f>COUNTIFS(BD_INICIATIVAS!$R$7:$R$1000,$A5,BD_INICIATIVAS!$Y$7:$Y$1000,"&lt;"&amp;DATE(2026,3,1))</f>
        <v>0</v>
      </c>
      <c r="C5" s="5">
        <f>COUNTIFS(BD_INICIATIVAS!$R$7:$R$1000,$A5,BD_INICIATIVAS!$Y$7:$Y$1000,"&gt;="&amp;DATE(2026,3,1),BD_INICIATIVAS!$Y$7:$Y$1000,"&lt;"&amp;DATE(2026,4,1))</f>
        <v>1</v>
      </c>
      <c r="D5" s="5">
        <f>COUNTIFS(BD_INICIATIVAS!$R$7:$R$1000,$A5,BD_INICIATIVAS!$Y$7:$Y$1000,"&gt;="&amp;DATE(2026,4,1),BD_INICIATIVAS!$Y$7:$Y$1000,"&lt;"&amp;DATE(2026,5,1))</f>
        <v>0</v>
      </c>
      <c r="E5" s="5">
        <f>COUNTIFS(BD_INICIATIVAS!$R$7:$R$1000,$A5,BD_INICIATIVAS!$Y$7:$Y$1000,"&gt;="&amp;DATE(2026,5,1),BD_INICIATIVAS!$Y$7:$Y$1000,"&lt;"&amp;DATE(2026,6,1))</f>
        <v>1</v>
      </c>
      <c r="F5" s="5">
        <f>COUNTIFS(BD_INICIATIVAS!$R$7:$R$1000,$A5,BD_INICIATIVAS!$Y$7:$Y$1000,"&gt;="&amp;DATE(2026,6,1),BD_INICIATIVAS!$Y$7:$Y$1000,"&lt;"&amp;DATE(2026,7,1))</f>
        <v>1</v>
      </c>
      <c r="G5" s="5">
        <f>COUNTIFS(BD_INICIATIVAS!$R$7:$R$1000,$A5,BD_INICIATIVAS!$Y$7:$Y$1000,"&gt;="&amp;DATE(2026,7,1),BD_INICIATIVAS!$Y$7:$Y$1000,"&lt;"&amp;DATE(2026,8,1))</f>
        <v>0</v>
      </c>
      <c r="H5" s="5">
        <f>COUNTIFS(BD_INICIATIVAS!$R$7:$R$1000,$A5,BD_INICIATIVAS!$Y$7:$Y$1000,"&gt;="&amp;DATE(2026,8,1),BD_INICIATIVAS!$Y$7:$Y$1000,"&lt;"&amp;DATE(2026,9,1))</f>
        <v>3</v>
      </c>
      <c r="I5" s="5">
        <f>COUNTIFS(BD_INICIATIVAS!$R$7:$R$1000,$A5,BD_INICIATIVAS!$Y$7:$Y$1000,"&gt;="&amp;DATE(2026,9,1),BD_INICIATIVAS!$Y$7:$Y$1000,"&lt;"&amp;DATE(2026,10,1))</f>
        <v>3</v>
      </c>
      <c r="J5" s="5">
        <f>COUNTIFS(BD_INICIATIVAS!$R$7:$R$1000,$A5,BD_INICIATIVAS!$Y$7:$Y$1000,"&gt;="&amp;DATE(2026,10,1),BD_INICIATIVAS!$Y$7:$Y$1000,"&lt;"&amp;DATE(2026,11,1))</f>
        <v>1</v>
      </c>
      <c r="K5" s="5">
        <f>COUNTIFS(BD_INICIATIVAS!$R$7:$R$1000,$A5,BD_INICIATIVAS!$Y$7:$Y$1000,"&gt;="&amp;DATE(2026,11,1),BD_INICIATIVAS!$Y$7:$Y$1000,"&lt;"&amp;DATE(2026,12,1))</f>
        <v>2</v>
      </c>
      <c r="L5" s="5">
        <f>COUNTIFS(BD_INICIATIVAS!$R$7:$R$1000,$A5,BD_INICIATIVAS!$Y$7:$Y$1000,"&gt;="&amp;DATE(2026,12,1),BD_INICIATIVAS!$Y$7:$Y$1000,"&lt;"&amp;DATE(2027,1,1))</f>
        <v>1</v>
      </c>
      <c r="M5" s="5">
        <f t="shared" ref="M5:M21" si="0">SUM(B5:L5)</f>
        <v>13</v>
      </c>
    </row>
    <row r="6" spans="1:13" ht="14.4" x14ac:dyDescent="0.3">
      <c r="A6" s="5" t="s">
        <v>493</v>
      </c>
      <c r="B6" s="5">
        <f>COUNTIFS(BD_INICIATIVAS!$R$7:$R$1000,$A6,BD_INICIATIVAS!$Y$7:$Y$1000,"&lt;"&amp;DATE(2026,3,1))</f>
        <v>0</v>
      </c>
      <c r="C6" s="5">
        <f>COUNTIFS(BD_INICIATIVAS!$R$7:$R$1000,$A6,BD_INICIATIVAS!$Y$7:$Y$1000,"&gt;="&amp;DATE(2026,3,1),BD_INICIATIVAS!$Y$7:$Y$1000,"&lt;"&amp;DATE(2026,4,1))</f>
        <v>2</v>
      </c>
      <c r="D6" s="5">
        <f>COUNTIFS(BD_INICIATIVAS!$R$7:$R$1000,$A6,BD_INICIATIVAS!$Y$7:$Y$1000,"&gt;="&amp;DATE(2026,4,1),BD_INICIATIVAS!$Y$7:$Y$1000,"&lt;"&amp;DATE(2026,5,1))</f>
        <v>0</v>
      </c>
      <c r="E6" s="5">
        <f>COUNTIFS(BD_INICIATIVAS!$R$7:$R$1000,$A6,BD_INICIATIVAS!$Y$7:$Y$1000,"&gt;="&amp;DATE(2026,5,1),BD_INICIATIVAS!$Y$7:$Y$1000,"&lt;"&amp;DATE(2026,6,1))</f>
        <v>2</v>
      </c>
      <c r="F6" s="5">
        <f>COUNTIFS(BD_INICIATIVAS!$R$7:$R$1000,$A6,BD_INICIATIVAS!$Y$7:$Y$1000,"&gt;="&amp;DATE(2026,6,1),BD_INICIATIVAS!$Y$7:$Y$1000,"&lt;"&amp;DATE(2026,7,1))</f>
        <v>1</v>
      </c>
      <c r="G6" s="5">
        <f>COUNTIFS(BD_INICIATIVAS!$R$7:$R$1000,$A6,BD_INICIATIVAS!$Y$7:$Y$1000,"&gt;="&amp;DATE(2026,7,1),BD_INICIATIVAS!$Y$7:$Y$1000,"&lt;"&amp;DATE(2026,8,1))</f>
        <v>0</v>
      </c>
      <c r="H6" s="5">
        <f>COUNTIFS(BD_INICIATIVAS!$R$7:$R$1000,$A6,BD_INICIATIVAS!$Y$7:$Y$1000,"&gt;="&amp;DATE(2026,8,1),BD_INICIATIVAS!$Y$7:$Y$1000,"&lt;"&amp;DATE(2026,9,1))</f>
        <v>2</v>
      </c>
      <c r="I6" s="5">
        <f>COUNTIFS(BD_INICIATIVAS!$R$7:$R$1000,$A6,BD_INICIATIVAS!$Y$7:$Y$1000,"&gt;="&amp;DATE(2026,9,1),BD_INICIATIVAS!$Y$7:$Y$1000,"&lt;"&amp;DATE(2026,10,1))</f>
        <v>0</v>
      </c>
      <c r="J6" s="5">
        <f>COUNTIFS(BD_INICIATIVAS!$R$7:$R$1000,$A6,BD_INICIATIVAS!$Y$7:$Y$1000,"&gt;="&amp;DATE(2026,10,1),BD_INICIATIVAS!$Y$7:$Y$1000,"&lt;"&amp;DATE(2026,11,1))</f>
        <v>3</v>
      </c>
      <c r="K6" s="5">
        <f>COUNTIFS(BD_INICIATIVAS!$R$7:$R$1000,$A6,BD_INICIATIVAS!$Y$7:$Y$1000,"&gt;="&amp;DATE(2026,11,1),BD_INICIATIVAS!$Y$7:$Y$1000,"&lt;"&amp;DATE(2026,12,1))</f>
        <v>3</v>
      </c>
      <c r="L6" s="5">
        <f>COUNTIFS(BD_INICIATIVAS!$R$7:$R$1000,$A6,BD_INICIATIVAS!$Y$7:$Y$1000,"&gt;="&amp;DATE(2026,12,1),BD_INICIATIVAS!$Y$7:$Y$1000,"&lt;"&amp;DATE(2027,1,1))</f>
        <v>1</v>
      </c>
      <c r="M6" s="5">
        <f t="shared" si="0"/>
        <v>14</v>
      </c>
    </row>
    <row r="7" spans="1:13" ht="14.4" x14ac:dyDescent="0.3">
      <c r="A7" s="5" t="s">
        <v>510</v>
      </c>
      <c r="B7" s="5">
        <f>COUNTIFS(BD_INICIATIVAS!$R$7:$R$1000,$A7,BD_INICIATIVAS!$Y$7:$Y$1000,"&lt;"&amp;DATE(2026,3,1))</f>
        <v>0</v>
      </c>
      <c r="C7" s="5">
        <f>COUNTIFS(BD_INICIATIVAS!$R$7:$R$1000,$A7,BD_INICIATIVAS!$Y$7:$Y$1000,"&gt;="&amp;DATE(2026,3,1),BD_INICIATIVAS!$Y$7:$Y$1000,"&lt;"&amp;DATE(2026,4,1))</f>
        <v>1</v>
      </c>
      <c r="D7" s="5">
        <f>COUNTIFS(BD_INICIATIVAS!$R$7:$R$1000,$A7,BD_INICIATIVAS!$Y$7:$Y$1000,"&gt;="&amp;DATE(2026,4,1),BD_INICIATIVAS!$Y$7:$Y$1000,"&lt;"&amp;DATE(2026,5,1))</f>
        <v>0</v>
      </c>
      <c r="E7" s="5">
        <f>COUNTIFS(BD_INICIATIVAS!$R$7:$R$1000,$A7,BD_INICIATIVAS!$Y$7:$Y$1000,"&gt;="&amp;DATE(2026,5,1),BD_INICIATIVAS!$Y$7:$Y$1000,"&lt;"&amp;DATE(2026,6,1))</f>
        <v>1</v>
      </c>
      <c r="F7" s="5">
        <f>COUNTIFS(BD_INICIATIVAS!$R$7:$R$1000,$A7,BD_INICIATIVAS!$Y$7:$Y$1000,"&gt;="&amp;DATE(2026,6,1),BD_INICIATIVAS!$Y$7:$Y$1000,"&lt;"&amp;DATE(2026,7,1))</f>
        <v>2</v>
      </c>
      <c r="G7" s="5">
        <f>COUNTIFS(BD_INICIATIVAS!$R$7:$R$1000,$A7,BD_INICIATIVAS!$Y$7:$Y$1000,"&gt;="&amp;DATE(2026,7,1),BD_INICIATIVAS!$Y$7:$Y$1000,"&lt;"&amp;DATE(2026,8,1))</f>
        <v>0</v>
      </c>
      <c r="H7" s="5">
        <f>COUNTIFS(BD_INICIATIVAS!$R$7:$R$1000,$A7,BD_INICIATIVAS!$Y$7:$Y$1000,"&gt;="&amp;DATE(2026,8,1),BD_INICIATIVAS!$Y$7:$Y$1000,"&lt;"&amp;DATE(2026,9,1))</f>
        <v>3</v>
      </c>
      <c r="I7" s="5">
        <f>COUNTIFS(BD_INICIATIVAS!$R$7:$R$1000,$A7,BD_INICIATIVAS!$Y$7:$Y$1000,"&gt;="&amp;DATE(2026,9,1),BD_INICIATIVAS!$Y$7:$Y$1000,"&lt;"&amp;DATE(2026,10,1))</f>
        <v>1</v>
      </c>
      <c r="J7" s="5">
        <f>COUNTIFS(BD_INICIATIVAS!$R$7:$R$1000,$A7,BD_INICIATIVAS!$Y$7:$Y$1000,"&gt;="&amp;DATE(2026,10,1),BD_INICIATIVAS!$Y$7:$Y$1000,"&lt;"&amp;DATE(2026,11,1))</f>
        <v>1</v>
      </c>
      <c r="K7" s="5">
        <f>COUNTIFS(BD_INICIATIVAS!$R$7:$R$1000,$A7,BD_INICIATIVAS!$Y$7:$Y$1000,"&gt;="&amp;DATE(2026,11,1),BD_INICIATIVAS!$Y$7:$Y$1000,"&lt;"&amp;DATE(2026,12,1))</f>
        <v>2</v>
      </c>
      <c r="L7" s="5">
        <f>COUNTIFS(BD_INICIATIVAS!$R$7:$R$1000,$A7,BD_INICIATIVAS!$Y$7:$Y$1000,"&gt;="&amp;DATE(2026,12,1),BD_INICIATIVAS!$Y$7:$Y$1000,"&lt;"&amp;DATE(2027,1,1))</f>
        <v>1</v>
      </c>
      <c r="M7" s="5">
        <f t="shared" si="0"/>
        <v>12</v>
      </c>
    </row>
    <row r="8" spans="1:13" ht="14.4" x14ac:dyDescent="0.3">
      <c r="A8" s="5" t="s">
        <v>527</v>
      </c>
      <c r="B8" s="5">
        <f>COUNTIFS(BD_INICIATIVAS!$R$7:$R$1000,$A8,BD_INICIATIVAS!$Y$7:$Y$1000,"&lt;"&amp;DATE(2026,3,1))</f>
        <v>0</v>
      </c>
      <c r="C8" s="5">
        <f>COUNTIFS(BD_INICIATIVAS!$R$7:$R$1000,$A8,BD_INICIATIVAS!$Y$7:$Y$1000,"&gt;="&amp;DATE(2026,3,1),BD_INICIATIVAS!$Y$7:$Y$1000,"&lt;"&amp;DATE(2026,4,1))</f>
        <v>2</v>
      </c>
      <c r="D8" s="5">
        <f>COUNTIFS(BD_INICIATIVAS!$R$7:$R$1000,$A8,BD_INICIATIVAS!$Y$7:$Y$1000,"&gt;="&amp;DATE(2026,4,1),BD_INICIATIVAS!$Y$7:$Y$1000,"&lt;"&amp;DATE(2026,5,1))</f>
        <v>0</v>
      </c>
      <c r="E8" s="5">
        <f>COUNTIFS(BD_INICIATIVAS!$R$7:$R$1000,$A8,BD_INICIATIVAS!$Y$7:$Y$1000,"&gt;="&amp;DATE(2026,5,1),BD_INICIATIVAS!$Y$7:$Y$1000,"&lt;"&amp;DATE(2026,6,1))</f>
        <v>0</v>
      </c>
      <c r="F8" s="5">
        <f>COUNTIFS(BD_INICIATIVAS!$R$7:$R$1000,$A8,BD_INICIATIVAS!$Y$7:$Y$1000,"&gt;="&amp;DATE(2026,6,1),BD_INICIATIVAS!$Y$7:$Y$1000,"&lt;"&amp;DATE(2026,7,1))</f>
        <v>1</v>
      </c>
      <c r="G8" s="5">
        <f>COUNTIFS(BD_INICIATIVAS!$R$7:$R$1000,$A8,BD_INICIATIVAS!$Y$7:$Y$1000,"&gt;="&amp;DATE(2026,7,1),BD_INICIATIVAS!$Y$7:$Y$1000,"&lt;"&amp;DATE(2026,8,1))</f>
        <v>0</v>
      </c>
      <c r="H8" s="5">
        <f>COUNTIFS(BD_INICIATIVAS!$R$7:$R$1000,$A8,BD_INICIATIVAS!$Y$7:$Y$1000,"&gt;="&amp;DATE(2026,8,1),BD_INICIATIVAS!$Y$7:$Y$1000,"&lt;"&amp;DATE(2026,9,1))</f>
        <v>1</v>
      </c>
      <c r="I8" s="5">
        <f>COUNTIFS(BD_INICIATIVAS!$R$7:$R$1000,$A8,BD_INICIATIVAS!$Y$7:$Y$1000,"&gt;="&amp;DATE(2026,9,1),BD_INICIATIVAS!$Y$7:$Y$1000,"&lt;"&amp;DATE(2026,10,1))</f>
        <v>2</v>
      </c>
      <c r="J8" s="5">
        <f>COUNTIFS(BD_INICIATIVAS!$R$7:$R$1000,$A8,BD_INICIATIVAS!$Y$7:$Y$1000,"&gt;="&amp;DATE(2026,10,1),BD_INICIATIVAS!$Y$7:$Y$1000,"&lt;"&amp;DATE(2026,11,1))</f>
        <v>2</v>
      </c>
      <c r="K8" s="5">
        <f>COUNTIFS(BD_INICIATIVAS!$R$7:$R$1000,$A8,BD_INICIATIVAS!$Y$7:$Y$1000,"&gt;="&amp;DATE(2026,11,1),BD_INICIATIVAS!$Y$7:$Y$1000,"&lt;"&amp;DATE(2026,12,1))</f>
        <v>4</v>
      </c>
      <c r="L8" s="5">
        <f>COUNTIFS(BD_INICIATIVAS!$R$7:$R$1000,$A8,BD_INICIATIVAS!$Y$7:$Y$1000,"&gt;="&amp;DATE(2026,12,1),BD_INICIATIVAS!$Y$7:$Y$1000,"&lt;"&amp;DATE(2027,1,1))</f>
        <v>1</v>
      </c>
      <c r="M8" s="5">
        <f t="shared" si="0"/>
        <v>13</v>
      </c>
    </row>
    <row r="9" spans="1:13" ht="14.4" x14ac:dyDescent="0.3">
      <c r="A9" s="5" t="s">
        <v>538</v>
      </c>
      <c r="B9" s="5">
        <f>COUNTIFS(BD_INICIATIVAS!$R$7:$R$1000,$A9,BD_INICIATIVAS!$Y$7:$Y$1000,"&lt;"&amp;DATE(2026,3,1))</f>
        <v>0</v>
      </c>
      <c r="C9" s="5">
        <f>COUNTIFS(BD_INICIATIVAS!$R$7:$R$1000,$A9,BD_INICIATIVAS!$Y$7:$Y$1000,"&gt;="&amp;DATE(2026,3,1),BD_INICIATIVAS!$Y$7:$Y$1000,"&lt;"&amp;DATE(2026,4,1))</f>
        <v>1</v>
      </c>
      <c r="D9" s="5">
        <f>COUNTIFS(BD_INICIATIVAS!$R$7:$R$1000,$A9,BD_INICIATIVAS!$Y$7:$Y$1000,"&gt;="&amp;DATE(2026,4,1),BD_INICIATIVAS!$Y$7:$Y$1000,"&lt;"&amp;DATE(2026,5,1))</f>
        <v>0</v>
      </c>
      <c r="E9" s="5">
        <f>COUNTIFS(BD_INICIATIVAS!$R$7:$R$1000,$A9,BD_INICIATIVAS!$Y$7:$Y$1000,"&gt;="&amp;DATE(2026,5,1),BD_INICIATIVAS!$Y$7:$Y$1000,"&lt;"&amp;DATE(2026,6,1))</f>
        <v>1</v>
      </c>
      <c r="F9" s="5">
        <f>COUNTIFS(BD_INICIATIVAS!$R$7:$R$1000,$A9,BD_INICIATIVAS!$Y$7:$Y$1000,"&gt;="&amp;DATE(2026,6,1),BD_INICIATIVAS!$Y$7:$Y$1000,"&lt;"&amp;DATE(2026,7,1))</f>
        <v>3</v>
      </c>
      <c r="G9" s="5">
        <f>COUNTIFS(BD_INICIATIVAS!$R$7:$R$1000,$A9,BD_INICIATIVAS!$Y$7:$Y$1000,"&gt;="&amp;DATE(2026,7,1),BD_INICIATIVAS!$Y$7:$Y$1000,"&lt;"&amp;DATE(2026,8,1))</f>
        <v>0</v>
      </c>
      <c r="H9" s="5">
        <f>COUNTIFS(BD_INICIATIVAS!$R$7:$R$1000,$A9,BD_INICIATIVAS!$Y$7:$Y$1000,"&gt;="&amp;DATE(2026,8,1),BD_INICIATIVAS!$Y$7:$Y$1000,"&lt;"&amp;DATE(2026,9,1))</f>
        <v>2</v>
      </c>
      <c r="I9" s="5">
        <f>COUNTIFS(BD_INICIATIVAS!$R$7:$R$1000,$A9,BD_INICIATIVAS!$Y$7:$Y$1000,"&gt;="&amp;DATE(2026,9,1),BD_INICIATIVAS!$Y$7:$Y$1000,"&lt;"&amp;DATE(2026,10,1))</f>
        <v>0</v>
      </c>
      <c r="J9" s="5">
        <f>COUNTIFS(BD_INICIATIVAS!$R$7:$R$1000,$A9,BD_INICIATIVAS!$Y$7:$Y$1000,"&gt;="&amp;DATE(2026,10,1),BD_INICIATIVAS!$Y$7:$Y$1000,"&lt;"&amp;DATE(2026,11,1))</f>
        <v>1</v>
      </c>
      <c r="K9" s="5">
        <f>COUNTIFS(BD_INICIATIVAS!$R$7:$R$1000,$A9,BD_INICIATIVAS!$Y$7:$Y$1000,"&gt;="&amp;DATE(2026,11,1),BD_INICIATIVAS!$Y$7:$Y$1000,"&lt;"&amp;DATE(2026,12,1))</f>
        <v>2</v>
      </c>
      <c r="L9" s="5">
        <f>COUNTIFS(BD_INICIATIVAS!$R$7:$R$1000,$A9,BD_INICIATIVAS!$Y$7:$Y$1000,"&gt;="&amp;DATE(2026,12,1),BD_INICIATIVAS!$Y$7:$Y$1000,"&lt;"&amp;DATE(2027,1,1))</f>
        <v>1</v>
      </c>
      <c r="M9" s="5">
        <f t="shared" si="0"/>
        <v>11</v>
      </c>
    </row>
    <row r="10" spans="1:13" ht="14.4" x14ac:dyDescent="0.3">
      <c r="A10" s="5" t="s">
        <v>559</v>
      </c>
      <c r="B10" s="5">
        <f>COUNTIFS(BD_INICIATIVAS!$R$7:$R$1000,$A10,BD_INICIATIVAS!$Y$7:$Y$1000,"&lt;"&amp;DATE(2026,3,1))</f>
        <v>0</v>
      </c>
      <c r="C10" s="5">
        <f>COUNTIFS(BD_INICIATIVAS!$R$7:$R$1000,$A10,BD_INICIATIVAS!$Y$7:$Y$1000,"&gt;="&amp;DATE(2026,3,1),BD_INICIATIVAS!$Y$7:$Y$1000,"&lt;"&amp;DATE(2026,4,1))</f>
        <v>7</v>
      </c>
      <c r="D10" s="5">
        <f>COUNTIFS(BD_INICIATIVAS!$R$7:$R$1000,$A10,BD_INICIATIVAS!$Y$7:$Y$1000,"&gt;="&amp;DATE(2026,4,1),BD_INICIATIVAS!$Y$7:$Y$1000,"&lt;"&amp;DATE(2026,5,1))</f>
        <v>1</v>
      </c>
      <c r="E10" s="5">
        <f>COUNTIFS(BD_INICIATIVAS!$R$7:$R$1000,$A10,BD_INICIATIVAS!$Y$7:$Y$1000,"&gt;="&amp;DATE(2026,5,1),BD_INICIATIVAS!$Y$7:$Y$1000,"&lt;"&amp;DATE(2026,6,1))</f>
        <v>6</v>
      </c>
      <c r="F10" s="5">
        <f>COUNTIFS(BD_INICIATIVAS!$R$7:$R$1000,$A10,BD_INICIATIVAS!$Y$7:$Y$1000,"&gt;="&amp;DATE(2026,6,1),BD_INICIATIVAS!$Y$7:$Y$1000,"&lt;"&amp;DATE(2026,7,1))</f>
        <v>5</v>
      </c>
      <c r="G10" s="5">
        <f>COUNTIFS(BD_INICIATIVAS!$R$7:$R$1000,$A10,BD_INICIATIVAS!$Y$7:$Y$1000,"&gt;="&amp;DATE(2026,7,1),BD_INICIATIVAS!$Y$7:$Y$1000,"&lt;"&amp;DATE(2026,8,1))</f>
        <v>3</v>
      </c>
      <c r="H10" s="5">
        <f>COUNTIFS(BD_INICIATIVAS!$R$7:$R$1000,$A10,BD_INICIATIVAS!$Y$7:$Y$1000,"&gt;="&amp;DATE(2026,8,1),BD_INICIATIVAS!$Y$7:$Y$1000,"&lt;"&amp;DATE(2026,9,1))</f>
        <v>12</v>
      </c>
      <c r="I10" s="5">
        <f>COUNTIFS(BD_INICIATIVAS!$R$7:$R$1000,$A10,BD_INICIATIVAS!$Y$7:$Y$1000,"&gt;="&amp;DATE(2026,9,1),BD_INICIATIVAS!$Y$7:$Y$1000,"&lt;"&amp;DATE(2026,10,1))</f>
        <v>5</v>
      </c>
      <c r="J10" s="5">
        <f>COUNTIFS(BD_INICIATIVAS!$R$7:$R$1000,$A10,BD_INICIATIVAS!$Y$7:$Y$1000,"&gt;="&amp;DATE(2026,10,1),BD_INICIATIVAS!$Y$7:$Y$1000,"&lt;"&amp;DATE(2026,11,1))</f>
        <v>10</v>
      </c>
      <c r="K10" s="5">
        <f>COUNTIFS(BD_INICIATIVAS!$R$7:$R$1000,$A10,BD_INICIATIVAS!$Y$7:$Y$1000,"&gt;="&amp;DATE(2026,11,1),BD_INICIATIVAS!$Y$7:$Y$1000,"&lt;"&amp;DATE(2026,12,1))</f>
        <v>10</v>
      </c>
      <c r="L10" s="5">
        <f>COUNTIFS(BD_INICIATIVAS!$R$7:$R$1000,$A10,BD_INICIATIVAS!$Y$7:$Y$1000,"&gt;="&amp;DATE(2026,12,1),BD_INICIATIVAS!$Y$7:$Y$1000,"&lt;"&amp;DATE(2027,1,1))</f>
        <v>4</v>
      </c>
      <c r="M10" s="5">
        <f t="shared" si="0"/>
        <v>63</v>
      </c>
    </row>
    <row r="11" spans="1:13" ht="14.4" x14ac:dyDescent="0.3">
      <c r="A11" s="5" t="s">
        <v>588</v>
      </c>
      <c r="B11" s="5">
        <f>COUNTIFS(BD_INICIATIVAS!$R$7:$R$1000,$A11,BD_INICIATIVAS!$Y$7:$Y$1000,"&lt;"&amp;DATE(2026,3,1))</f>
        <v>0</v>
      </c>
      <c r="C11" s="5">
        <f>COUNTIFS(BD_INICIATIVAS!$R$7:$R$1000,$A11,BD_INICIATIVAS!$Y$7:$Y$1000,"&gt;="&amp;DATE(2026,3,1),BD_INICIATIVAS!$Y$7:$Y$1000,"&lt;"&amp;DATE(2026,4,1))</f>
        <v>3</v>
      </c>
      <c r="D11" s="5">
        <f>COUNTIFS(BD_INICIATIVAS!$R$7:$R$1000,$A11,BD_INICIATIVAS!$Y$7:$Y$1000,"&gt;="&amp;DATE(2026,4,1),BD_INICIATIVAS!$Y$7:$Y$1000,"&lt;"&amp;DATE(2026,5,1))</f>
        <v>0</v>
      </c>
      <c r="E11" s="5">
        <f>COUNTIFS(BD_INICIATIVAS!$R$7:$R$1000,$A11,BD_INICIATIVAS!$Y$7:$Y$1000,"&gt;="&amp;DATE(2026,5,1),BD_INICIATIVAS!$Y$7:$Y$1000,"&lt;"&amp;DATE(2026,6,1))</f>
        <v>0</v>
      </c>
      <c r="F11" s="5">
        <f>COUNTIFS(BD_INICIATIVAS!$R$7:$R$1000,$A11,BD_INICIATIVAS!$Y$7:$Y$1000,"&gt;="&amp;DATE(2026,6,1),BD_INICIATIVAS!$Y$7:$Y$1000,"&lt;"&amp;DATE(2026,7,1))</f>
        <v>1</v>
      </c>
      <c r="G11" s="5">
        <f>COUNTIFS(BD_INICIATIVAS!$R$7:$R$1000,$A11,BD_INICIATIVAS!$Y$7:$Y$1000,"&gt;="&amp;DATE(2026,7,1),BD_INICIATIVAS!$Y$7:$Y$1000,"&lt;"&amp;DATE(2026,8,1))</f>
        <v>0</v>
      </c>
      <c r="H11" s="5">
        <f>COUNTIFS(BD_INICIATIVAS!$R$7:$R$1000,$A11,BD_INICIATIVAS!$Y$7:$Y$1000,"&gt;="&amp;DATE(2026,8,1),BD_INICIATIVAS!$Y$7:$Y$1000,"&lt;"&amp;DATE(2026,9,1))</f>
        <v>3</v>
      </c>
      <c r="I11" s="5">
        <f>COUNTIFS(BD_INICIATIVAS!$R$7:$R$1000,$A11,BD_INICIATIVAS!$Y$7:$Y$1000,"&gt;="&amp;DATE(2026,9,1),BD_INICIATIVAS!$Y$7:$Y$1000,"&lt;"&amp;DATE(2026,10,1))</f>
        <v>1</v>
      </c>
      <c r="J11" s="5">
        <f>COUNTIFS(BD_INICIATIVAS!$R$7:$R$1000,$A11,BD_INICIATIVAS!$Y$7:$Y$1000,"&gt;="&amp;DATE(2026,10,1),BD_INICIATIVAS!$Y$7:$Y$1000,"&lt;"&amp;DATE(2026,11,1))</f>
        <v>1</v>
      </c>
      <c r="K11" s="5">
        <f>COUNTIFS(BD_INICIATIVAS!$R$7:$R$1000,$A11,BD_INICIATIVAS!$Y$7:$Y$1000,"&gt;="&amp;DATE(2026,11,1),BD_INICIATIVAS!$Y$7:$Y$1000,"&lt;"&amp;DATE(2026,12,1))</f>
        <v>2</v>
      </c>
      <c r="L11" s="5">
        <f>COUNTIFS(BD_INICIATIVAS!$R$7:$R$1000,$A11,BD_INICIATIVAS!$Y$7:$Y$1000,"&gt;="&amp;DATE(2026,12,1),BD_INICIATIVAS!$Y$7:$Y$1000,"&lt;"&amp;DATE(2027,1,1))</f>
        <v>1</v>
      </c>
      <c r="M11" s="5">
        <f t="shared" si="0"/>
        <v>12</v>
      </c>
    </row>
    <row r="12" spans="1:13" ht="14.4" x14ac:dyDescent="0.3">
      <c r="A12" s="5" t="s">
        <v>649</v>
      </c>
      <c r="B12" s="5">
        <f>COUNTIFS(BD_INICIATIVAS!$R$7:$R$1000,$A12,BD_INICIATIVAS!$Y$7:$Y$1000,"&lt;"&amp;DATE(2026,3,1))</f>
        <v>0</v>
      </c>
      <c r="C12" s="5">
        <f>COUNTIFS(BD_INICIATIVAS!$R$7:$R$1000,$A12,BD_INICIATIVAS!$Y$7:$Y$1000,"&gt;="&amp;DATE(2026,3,1),BD_INICIATIVAS!$Y$7:$Y$1000,"&lt;"&amp;DATE(2026,4,1))</f>
        <v>5</v>
      </c>
      <c r="D12" s="5">
        <f>COUNTIFS(BD_INICIATIVAS!$R$7:$R$1000,$A12,BD_INICIATIVAS!$Y$7:$Y$1000,"&gt;="&amp;DATE(2026,4,1),BD_INICIATIVAS!$Y$7:$Y$1000,"&lt;"&amp;DATE(2026,5,1))</f>
        <v>1</v>
      </c>
      <c r="E12" s="5">
        <f>COUNTIFS(BD_INICIATIVAS!$R$7:$R$1000,$A12,BD_INICIATIVAS!$Y$7:$Y$1000,"&gt;="&amp;DATE(2026,5,1),BD_INICIATIVAS!$Y$7:$Y$1000,"&lt;"&amp;DATE(2026,6,1))</f>
        <v>0</v>
      </c>
      <c r="F12" s="5">
        <f>COUNTIFS(BD_INICIATIVAS!$R$7:$R$1000,$A12,BD_INICIATIVAS!$Y$7:$Y$1000,"&gt;="&amp;DATE(2026,6,1),BD_INICIATIVAS!$Y$7:$Y$1000,"&lt;"&amp;DATE(2026,7,1))</f>
        <v>1</v>
      </c>
      <c r="G12" s="5">
        <f>COUNTIFS(BD_INICIATIVAS!$R$7:$R$1000,$A12,BD_INICIATIVAS!$Y$7:$Y$1000,"&gt;="&amp;DATE(2026,7,1),BD_INICIATIVAS!$Y$7:$Y$1000,"&lt;"&amp;DATE(2026,8,1))</f>
        <v>0</v>
      </c>
      <c r="H12" s="5">
        <f>COUNTIFS(BD_INICIATIVAS!$R$7:$R$1000,$A12,BD_INICIATIVAS!$Y$7:$Y$1000,"&gt;="&amp;DATE(2026,8,1),BD_INICIATIVAS!$Y$7:$Y$1000,"&lt;"&amp;DATE(2026,9,1))</f>
        <v>2</v>
      </c>
      <c r="I12" s="5">
        <f>COUNTIFS(BD_INICIATIVAS!$R$7:$R$1000,$A12,BD_INICIATIVAS!$Y$7:$Y$1000,"&gt;="&amp;DATE(2026,9,1),BD_INICIATIVAS!$Y$7:$Y$1000,"&lt;"&amp;DATE(2026,10,1))</f>
        <v>0</v>
      </c>
      <c r="J12" s="5">
        <f>COUNTIFS(BD_INICIATIVAS!$R$7:$R$1000,$A12,BD_INICIATIVAS!$Y$7:$Y$1000,"&gt;="&amp;DATE(2026,10,1),BD_INICIATIVAS!$Y$7:$Y$1000,"&lt;"&amp;DATE(2026,11,1))</f>
        <v>2</v>
      </c>
      <c r="K12" s="5">
        <f>COUNTIFS(BD_INICIATIVAS!$R$7:$R$1000,$A12,BD_INICIATIVAS!$Y$7:$Y$1000,"&gt;="&amp;DATE(2026,11,1),BD_INICIATIVAS!$Y$7:$Y$1000,"&lt;"&amp;DATE(2026,12,1))</f>
        <v>2</v>
      </c>
      <c r="L12" s="5">
        <f>COUNTIFS(BD_INICIATIVAS!$R$7:$R$1000,$A12,BD_INICIATIVAS!$Y$7:$Y$1000,"&gt;="&amp;DATE(2026,12,1),BD_INICIATIVAS!$Y$7:$Y$1000,"&lt;"&amp;DATE(2027,1,1))</f>
        <v>1</v>
      </c>
      <c r="M12" s="5">
        <f t="shared" si="0"/>
        <v>14</v>
      </c>
    </row>
    <row r="13" spans="1:13" ht="14.4" x14ac:dyDescent="0.3">
      <c r="A13" s="5" t="s">
        <v>664</v>
      </c>
      <c r="B13" s="5">
        <f>COUNTIFS(BD_INICIATIVAS!$R$7:$R$1000,$A13,BD_INICIATIVAS!$Y$7:$Y$1000,"&lt;"&amp;DATE(2026,3,1))</f>
        <v>0</v>
      </c>
      <c r="C13" s="5">
        <f>COUNTIFS(BD_INICIATIVAS!$R$7:$R$1000,$A13,BD_INICIATIVAS!$Y$7:$Y$1000,"&gt;="&amp;DATE(2026,3,1),BD_INICIATIVAS!$Y$7:$Y$1000,"&lt;"&amp;DATE(2026,4,1))</f>
        <v>0</v>
      </c>
      <c r="D13" s="5">
        <f>COUNTIFS(BD_INICIATIVAS!$R$7:$R$1000,$A13,BD_INICIATIVAS!$Y$7:$Y$1000,"&gt;="&amp;DATE(2026,4,1),BD_INICIATIVAS!$Y$7:$Y$1000,"&lt;"&amp;DATE(2026,5,1))</f>
        <v>0</v>
      </c>
      <c r="E13" s="5">
        <f>COUNTIFS(BD_INICIATIVAS!$R$7:$R$1000,$A13,BD_INICIATIVAS!$Y$7:$Y$1000,"&gt;="&amp;DATE(2026,5,1),BD_INICIATIVAS!$Y$7:$Y$1000,"&lt;"&amp;DATE(2026,6,1))</f>
        <v>2</v>
      </c>
      <c r="F13" s="5">
        <f>COUNTIFS(BD_INICIATIVAS!$R$7:$R$1000,$A13,BD_INICIATIVAS!$Y$7:$Y$1000,"&gt;="&amp;DATE(2026,6,1),BD_INICIATIVAS!$Y$7:$Y$1000,"&lt;"&amp;DATE(2026,7,1))</f>
        <v>2</v>
      </c>
      <c r="G13" s="5">
        <f>COUNTIFS(BD_INICIATIVAS!$R$7:$R$1000,$A13,BD_INICIATIVAS!$Y$7:$Y$1000,"&gt;="&amp;DATE(2026,7,1),BD_INICIATIVAS!$Y$7:$Y$1000,"&lt;"&amp;DATE(2026,8,1))</f>
        <v>0</v>
      </c>
      <c r="H13" s="5">
        <f>COUNTIFS(BD_INICIATIVAS!$R$7:$R$1000,$A13,BD_INICIATIVAS!$Y$7:$Y$1000,"&gt;="&amp;DATE(2026,8,1),BD_INICIATIVAS!$Y$7:$Y$1000,"&lt;"&amp;DATE(2026,9,1))</f>
        <v>2</v>
      </c>
      <c r="I13" s="5">
        <f>COUNTIFS(BD_INICIATIVAS!$R$7:$R$1000,$A13,BD_INICIATIVAS!$Y$7:$Y$1000,"&gt;="&amp;DATE(2026,9,1),BD_INICIATIVAS!$Y$7:$Y$1000,"&lt;"&amp;DATE(2026,10,1))</f>
        <v>1</v>
      </c>
      <c r="J13" s="5">
        <f>COUNTIFS(BD_INICIATIVAS!$R$7:$R$1000,$A13,BD_INICIATIVAS!$Y$7:$Y$1000,"&gt;="&amp;DATE(2026,10,1),BD_INICIATIVAS!$Y$7:$Y$1000,"&lt;"&amp;DATE(2026,11,1))</f>
        <v>2</v>
      </c>
      <c r="K13" s="5">
        <f>COUNTIFS(BD_INICIATIVAS!$R$7:$R$1000,$A13,BD_INICIATIVAS!$Y$7:$Y$1000,"&gt;="&amp;DATE(2026,11,1),BD_INICIATIVAS!$Y$7:$Y$1000,"&lt;"&amp;DATE(2026,12,1))</f>
        <v>2</v>
      </c>
      <c r="L13" s="5">
        <f>COUNTIFS(BD_INICIATIVAS!$R$7:$R$1000,$A13,BD_INICIATIVAS!$Y$7:$Y$1000,"&gt;="&amp;DATE(2026,12,1),BD_INICIATIVAS!$Y$7:$Y$1000,"&lt;"&amp;DATE(2027,1,1))</f>
        <v>1</v>
      </c>
      <c r="M13" s="5">
        <f t="shared" si="0"/>
        <v>12</v>
      </c>
    </row>
    <row r="14" spans="1:13" ht="14.4" x14ac:dyDescent="0.3">
      <c r="A14" s="5" t="s">
        <v>684</v>
      </c>
      <c r="B14" s="5">
        <f>COUNTIFS(BD_INICIATIVAS!$R$7:$R$1000,$A14,BD_INICIATIVAS!$Y$7:$Y$1000,"&lt;"&amp;DATE(2026,3,1))</f>
        <v>0</v>
      </c>
      <c r="C14" s="5">
        <f>COUNTIFS(BD_INICIATIVAS!$R$7:$R$1000,$A14,BD_INICIATIVAS!$Y$7:$Y$1000,"&gt;="&amp;DATE(2026,3,1),BD_INICIATIVAS!$Y$7:$Y$1000,"&lt;"&amp;DATE(2026,4,1))</f>
        <v>3</v>
      </c>
      <c r="D14" s="5">
        <f>COUNTIFS(BD_INICIATIVAS!$R$7:$R$1000,$A14,BD_INICIATIVAS!$Y$7:$Y$1000,"&gt;="&amp;DATE(2026,4,1),BD_INICIATIVAS!$Y$7:$Y$1000,"&lt;"&amp;DATE(2026,5,1))</f>
        <v>0</v>
      </c>
      <c r="E14" s="5">
        <f>COUNTIFS(BD_INICIATIVAS!$R$7:$R$1000,$A14,BD_INICIATIVAS!$Y$7:$Y$1000,"&gt;="&amp;DATE(2026,5,1),BD_INICIATIVAS!$Y$7:$Y$1000,"&lt;"&amp;DATE(2026,6,1))</f>
        <v>1</v>
      </c>
      <c r="F14" s="5">
        <f>COUNTIFS(BD_INICIATIVAS!$R$7:$R$1000,$A14,BD_INICIATIVAS!$Y$7:$Y$1000,"&gt;="&amp;DATE(2026,6,1),BD_INICIATIVAS!$Y$7:$Y$1000,"&lt;"&amp;DATE(2026,7,1))</f>
        <v>2</v>
      </c>
      <c r="G14" s="5">
        <f>COUNTIFS(BD_INICIATIVAS!$R$7:$R$1000,$A14,BD_INICIATIVAS!$Y$7:$Y$1000,"&gt;="&amp;DATE(2026,7,1),BD_INICIATIVAS!$Y$7:$Y$1000,"&lt;"&amp;DATE(2026,8,1))</f>
        <v>0</v>
      </c>
      <c r="H14" s="5">
        <f>COUNTIFS(BD_INICIATIVAS!$R$7:$R$1000,$A14,BD_INICIATIVAS!$Y$7:$Y$1000,"&gt;="&amp;DATE(2026,8,1),BD_INICIATIVAS!$Y$7:$Y$1000,"&lt;"&amp;DATE(2026,9,1))</f>
        <v>4</v>
      </c>
      <c r="I14" s="5">
        <f>COUNTIFS(BD_INICIATIVAS!$R$7:$R$1000,$A14,BD_INICIATIVAS!$Y$7:$Y$1000,"&gt;="&amp;DATE(2026,9,1),BD_INICIATIVAS!$Y$7:$Y$1000,"&lt;"&amp;DATE(2026,10,1))</f>
        <v>1</v>
      </c>
      <c r="J14" s="5">
        <f>COUNTIFS(BD_INICIATIVAS!$R$7:$R$1000,$A14,BD_INICIATIVAS!$Y$7:$Y$1000,"&gt;="&amp;DATE(2026,10,1),BD_INICIATIVAS!$Y$7:$Y$1000,"&lt;"&amp;DATE(2026,11,1))</f>
        <v>2</v>
      </c>
      <c r="K14" s="5">
        <f>COUNTIFS(BD_INICIATIVAS!$R$7:$R$1000,$A14,BD_INICIATIVAS!$Y$7:$Y$1000,"&gt;="&amp;DATE(2026,11,1),BD_INICIATIVAS!$Y$7:$Y$1000,"&lt;"&amp;DATE(2026,12,1))</f>
        <v>4</v>
      </c>
      <c r="L14" s="5">
        <f>COUNTIFS(BD_INICIATIVAS!$R$7:$R$1000,$A14,BD_INICIATIVAS!$Y$7:$Y$1000,"&gt;="&amp;DATE(2026,12,1),BD_INICIATIVAS!$Y$7:$Y$1000,"&lt;"&amp;DATE(2027,1,1))</f>
        <v>1</v>
      </c>
      <c r="M14" s="5">
        <f t="shared" si="0"/>
        <v>18</v>
      </c>
    </row>
    <row r="15" spans="1:13" ht="14.4" x14ac:dyDescent="0.3">
      <c r="A15" s="5" t="s">
        <v>726</v>
      </c>
      <c r="B15" s="5">
        <f>COUNTIFS(BD_INICIATIVAS!$R$7:$R$1000,$A15,BD_INICIATIVAS!$Y$7:$Y$1000,"&lt;"&amp;DATE(2026,3,1))</f>
        <v>0</v>
      </c>
      <c r="C15" s="5">
        <f>COUNTIFS(BD_INICIATIVAS!$R$7:$R$1000,$A15,BD_INICIATIVAS!$Y$7:$Y$1000,"&gt;="&amp;DATE(2026,3,1),BD_INICIATIVAS!$Y$7:$Y$1000,"&lt;"&amp;DATE(2026,4,1))</f>
        <v>3</v>
      </c>
      <c r="D15" s="5">
        <f>COUNTIFS(BD_INICIATIVAS!$R$7:$R$1000,$A15,BD_INICIATIVAS!$Y$7:$Y$1000,"&gt;="&amp;DATE(2026,4,1),BD_INICIATIVAS!$Y$7:$Y$1000,"&lt;"&amp;DATE(2026,5,1))</f>
        <v>0</v>
      </c>
      <c r="E15" s="5">
        <f>COUNTIFS(BD_INICIATIVAS!$R$7:$R$1000,$A15,BD_INICIATIVAS!$Y$7:$Y$1000,"&gt;="&amp;DATE(2026,5,1),BD_INICIATIVAS!$Y$7:$Y$1000,"&lt;"&amp;DATE(2026,6,1))</f>
        <v>1</v>
      </c>
      <c r="F15" s="5">
        <f>COUNTIFS(BD_INICIATIVAS!$R$7:$R$1000,$A15,BD_INICIATIVAS!$Y$7:$Y$1000,"&gt;="&amp;DATE(2026,6,1),BD_INICIATIVAS!$Y$7:$Y$1000,"&lt;"&amp;DATE(2026,7,1))</f>
        <v>3</v>
      </c>
      <c r="G15" s="5">
        <f>COUNTIFS(BD_INICIATIVAS!$R$7:$R$1000,$A15,BD_INICIATIVAS!$Y$7:$Y$1000,"&gt;="&amp;DATE(2026,7,1),BD_INICIATIVAS!$Y$7:$Y$1000,"&lt;"&amp;DATE(2026,8,1))</f>
        <v>0</v>
      </c>
      <c r="H15" s="5">
        <f>COUNTIFS(BD_INICIATIVAS!$R$7:$R$1000,$A15,BD_INICIATIVAS!$Y$7:$Y$1000,"&gt;="&amp;DATE(2026,8,1),BD_INICIATIVAS!$Y$7:$Y$1000,"&lt;"&amp;DATE(2026,9,1))</f>
        <v>1</v>
      </c>
      <c r="I15" s="5">
        <f>COUNTIFS(BD_INICIATIVAS!$R$7:$R$1000,$A15,BD_INICIATIVAS!$Y$7:$Y$1000,"&gt;="&amp;DATE(2026,9,1),BD_INICIATIVAS!$Y$7:$Y$1000,"&lt;"&amp;DATE(2026,10,1))</f>
        <v>1</v>
      </c>
      <c r="J15" s="5">
        <f>COUNTIFS(BD_INICIATIVAS!$R$7:$R$1000,$A15,BD_INICIATIVAS!$Y$7:$Y$1000,"&gt;="&amp;DATE(2026,10,1),BD_INICIATIVAS!$Y$7:$Y$1000,"&lt;"&amp;DATE(2026,11,1))</f>
        <v>1</v>
      </c>
      <c r="K15" s="5">
        <f>COUNTIFS(BD_INICIATIVAS!$R$7:$R$1000,$A15,BD_INICIATIVAS!$Y$7:$Y$1000,"&gt;="&amp;DATE(2026,11,1),BD_INICIATIVAS!$Y$7:$Y$1000,"&lt;"&amp;DATE(2026,12,1))</f>
        <v>3</v>
      </c>
      <c r="L15" s="5">
        <f>COUNTIFS(BD_INICIATIVAS!$R$7:$R$1000,$A15,BD_INICIATIVAS!$Y$7:$Y$1000,"&gt;="&amp;DATE(2026,12,1),BD_INICIATIVAS!$Y$7:$Y$1000,"&lt;"&amp;DATE(2027,1,1))</f>
        <v>1</v>
      </c>
      <c r="M15" s="5">
        <f t="shared" si="0"/>
        <v>14</v>
      </c>
    </row>
    <row r="16" spans="1:13" ht="14.4" x14ac:dyDescent="0.3">
      <c r="A16" s="5" t="s">
        <v>774</v>
      </c>
      <c r="B16" s="5">
        <f>COUNTIFS(BD_INICIATIVAS!$R$7:$R$1000,$A16,BD_INICIATIVAS!$Y$7:$Y$1000,"&lt;"&amp;DATE(2026,3,1))</f>
        <v>0</v>
      </c>
      <c r="C16" s="5">
        <f>COUNTIFS(BD_INICIATIVAS!$R$7:$R$1000,$A16,BD_INICIATIVAS!$Y$7:$Y$1000,"&gt;="&amp;DATE(2026,3,1),BD_INICIATIVAS!$Y$7:$Y$1000,"&lt;"&amp;DATE(2026,4,1))</f>
        <v>0</v>
      </c>
      <c r="D16" s="5">
        <f>COUNTIFS(BD_INICIATIVAS!$R$7:$R$1000,$A16,BD_INICIATIVAS!$Y$7:$Y$1000,"&gt;="&amp;DATE(2026,4,1),BD_INICIATIVAS!$Y$7:$Y$1000,"&lt;"&amp;DATE(2026,5,1))</f>
        <v>0</v>
      </c>
      <c r="E16" s="5">
        <f>COUNTIFS(BD_INICIATIVAS!$R$7:$R$1000,$A16,BD_INICIATIVAS!$Y$7:$Y$1000,"&gt;="&amp;DATE(2026,5,1),BD_INICIATIVAS!$Y$7:$Y$1000,"&lt;"&amp;DATE(2026,6,1))</f>
        <v>1</v>
      </c>
      <c r="F16" s="5">
        <f>COUNTIFS(BD_INICIATIVAS!$R$7:$R$1000,$A16,BD_INICIATIVAS!$Y$7:$Y$1000,"&gt;="&amp;DATE(2026,6,1),BD_INICIATIVAS!$Y$7:$Y$1000,"&lt;"&amp;DATE(2026,7,1))</f>
        <v>7</v>
      </c>
      <c r="G16" s="5">
        <f>COUNTIFS(BD_INICIATIVAS!$R$7:$R$1000,$A16,BD_INICIATIVAS!$Y$7:$Y$1000,"&gt;="&amp;DATE(2026,7,1),BD_INICIATIVAS!$Y$7:$Y$1000,"&lt;"&amp;DATE(2026,8,1))</f>
        <v>0</v>
      </c>
      <c r="H16" s="5">
        <f>COUNTIFS(BD_INICIATIVAS!$R$7:$R$1000,$A16,BD_INICIATIVAS!$Y$7:$Y$1000,"&gt;="&amp;DATE(2026,8,1),BD_INICIATIVAS!$Y$7:$Y$1000,"&lt;"&amp;DATE(2026,9,1))</f>
        <v>11</v>
      </c>
      <c r="I16" s="5">
        <f>COUNTIFS(BD_INICIATIVAS!$R$7:$R$1000,$A16,BD_INICIATIVAS!$Y$7:$Y$1000,"&gt;="&amp;DATE(2026,9,1),BD_INICIATIVAS!$Y$7:$Y$1000,"&lt;"&amp;DATE(2026,10,1))</f>
        <v>0</v>
      </c>
      <c r="J16" s="5">
        <f>COUNTIFS(BD_INICIATIVAS!$R$7:$R$1000,$A16,BD_INICIATIVAS!$Y$7:$Y$1000,"&gt;="&amp;DATE(2026,10,1),BD_INICIATIVAS!$Y$7:$Y$1000,"&lt;"&amp;DATE(2026,11,1))</f>
        <v>11</v>
      </c>
      <c r="K16" s="5">
        <f>COUNTIFS(BD_INICIATIVAS!$R$7:$R$1000,$A16,BD_INICIATIVAS!$Y$7:$Y$1000,"&gt;="&amp;DATE(2026,11,1),BD_INICIATIVAS!$Y$7:$Y$1000,"&lt;"&amp;DATE(2026,12,1))</f>
        <v>8</v>
      </c>
      <c r="L16" s="5">
        <f>COUNTIFS(BD_INICIATIVAS!$R$7:$R$1000,$A16,BD_INICIATIVAS!$Y$7:$Y$1000,"&gt;="&amp;DATE(2026,12,1),BD_INICIATIVAS!$Y$7:$Y$1000,"&lt;"&amp;DATE(2027,1,1))</f>
        <v>3</v>
      </c>
      <c r="M16" s="5">
        <f t="shared" si="0"/>
        <v>41</v>
      </c>
    </row>
    <row r="17" spans="1:13" ht="14.4" x14ac:dyDescent="0.3">
      <c r="A17" s="5" t="s">
        <v>803</v>
      </c>
      <c r="B17" s="5">
        <f>COUNTIFS(BD_INICIATIVAS!$R$7:$R$1000,$A17,BD_INICIATIVAS!$Y$7:$Y$1000,"&lt;"&amp;DATE(2026,3,1))</f>
        <v>0</v>
      </c>
      <c r="C17" s="5">
        <f>COUNTIFS(BD_INICIATIVAS!$R$7:$R$1000,$A17,BD_INICIATIVAS!$Y$7:$Y$1000,"&gt;="&amp;DATE(2026,3,1),BD_INICIATIVAS!$Y$7:$Y$1000,"&lt;"&amp;DATE(2026,4,1))</f>
        <v>0</v>
      </c>
      <c r="D17" s="5">
        <f>COUNTIFS(BD_INICIATIVAS!$R$7:$R$1000,$A17,BD_INICIATIVAS!$Y$7:$Y$1000,"&gt;="&amp;DATE(2026,4,1),BD_INICIATIVAS!$Y$7:$Y$1000,"&lt;"&amp;DATE(2026,5,1))</f>
        <v>0</v>
      </c>
      <c r="E17" s="5">
        <f>COUNTIFS(BD_INICIATIVAS!$R$7:$R$1000,$A17,BD_INICIATIVAS!$Y$7:$Y$1000,"&gt;="&amp;DATE(2026,5,1),BD_INICIATIVAS!$Y$7:$Y$1000,"&lt;"&amp;DATE(2026,6,1))</f>
        <v>1</v>
      </c>
      <c r="F17" s="5">
        <f>COUNTIFS(BD_INICIATIVAS!$R$7:$R$1000,$A17,BD_INICIATIVAS!$Y$7:$Y$1000,"&gt;="&amp;DATE(2026,6,1),BD_INICIATIVAS!$Y$7:$Y$1000,"&lt;"&amp;DATE(2026,7,1))</f>
        <v>0</v>
      </c>
      <c r="G17" s="5">
        <f>COUNTIFS(BD_INICIATIVAS!$R$7:$R$1000,$A17,BD_INICIATIVAS!$Y$7:$Y$1000,"&gt;="&amp;DATE(2026,7,1),BD_INICIATIVAS!$Y$7:$Y$1000,"&lt;"&amp;DATE(2026,8,1))</f>
        <v>0</v>
      </c>
      <c r="H17" s="5">
        <f>COUNTIFS(BD_INICIATIVAS!$R$7:$R$1000,$A17,BD_INICIATIVAS!$Y$7:$Y$1000,"&gt;="&amp;DATE(2026,8,1),BD_INICIATIVAS!$Y$7:$Y$1000,"&lt;"&amp;DATE(2026,9,1))</f>
        <v>0</v>
      </c>
      <c r="I17" s="5">
        <f>COUNTIFS(BD_INICIATIVAS!$R$7:$R$1000,$A17,BD_INICIATIVAS!$Y$7:$Y$1000,"&gt;="&amp;DATE(2026,9,1),BD_INICIATIVAS!$Y$7:$Y$1000,"&lt;"&amp;DATE(2026,10,1))</f>
        <v>0</v>
      </c>
      <c r="J17" s="5">
        <f>COUNTIFS(BD_INICIATIVAS!$R$7:$R$1000,$A17,BD_INICIATIVAS!$Y$7:$Y$1000,"&gt;="&amp;DATE(2026,10,1),BD_INICIATIVAS!$Y$7:$Y$1000,"&lt;"&amp;DATE(2026,11,1))</f>
        <v>3</v>
      </c>
      <c r="K17" s="5">
        <f>COUNTIFS(BD_INICIATIVAS!$R$7:$R$1000,$A17,BD_INICIATIVAS!$Y$7:$Y$1000,"&gt;="&amp;DATE(2026,11,1),BD_INICIATIVAS!$Y$7:$Y$1000,"&lt;"&amp;DATE(2026,12,1))</f>
        <v>0</v>
      </c>
      <c r="L17" s="5">
        <f>COUNTIFS(BD_INICIATIVAS!$R$7:$R$1000,$A17,BD_INICIATIVAS!$Y$7:$Y$1000,"&gt;="&amp;DATE(2026,12,1),BD_INICIATIVAS!$Y$7:$Y$1000,"&lt;"&amp;DATE(2027,1,1))</f>
        <v>0</v>
      </c>
      <c r="M17" s="5">
        <f t="shared" si="0"/>
        <v>4</v>
      </c>
    </row>
    <row r="18" spans="1:13" ht="14.4" x14ac:dyDescent="0.3">
      <c r="A18" s="5" t="s">
        <v>804</v>
      </c>
      <c r="B18" s="5">
        <f>COUNTIFS(BD_INICIATIVAS!$R$7:$R$1000,$A18,BD_INICIATIVAS!$Y$7:$Y$1000,"&lt;"&amp;DATE(2026,3,1))</f>
        <v>0</v>
      </c>
      <c r="C18" s="5">
        <f>COUNTIFS(BD_INICIATIVAS!$R$7:$R$1000,$A18,BD_INICIATIVAS!$Y$7:$Y$1000,"&gt;="&amp;DATE(2026,3,1),BD_INICIATIVAS!$Y$7:$Y$1000,"&lt;"&amp;DATE(2026,4,1))</f>
        <v>0</v>
      </c>
      <c r="D18" s="5">
        <f>COUNTIFS(BD_INICIATIVAS!$R$7:$R$1000,$A18,BD_INICIATIVAS!$Y$7:$Y$1000,"&gt;="&amp;DATE(2026,4,1),BD_INICIATIVAS!$Y$7:$Y$1000,"&lt;"&amp;DATE(2026,5,1))</f>
        <v>0</v>
      </c>
      <c r="E18" s="5">
        <f>COUNTIFS(BD_INICIATIVAS!$R$7:$R$1000,$A18,BD_INICIATIVAS!$Y$7:$Y$1000,"&gt;="&amp;DATE(2026,5,1),BD_INICIATIVAS!$Y$7:$Y$1000,"&lt;"&amp;DATE(2026,6,1))</f>
        <v>0</v>
      </c>
      <c r="F18" s="5">
        <f>COUNTIFS(BD_INICIATIVAS!$R$7:$R$1000,$A18,BD_INICIATIVAS!$Y$7:$Y$1000,"&gt;="&amp;DATE(2026,6,1),BD_INICIATIVAS!$Y$7:$Y$1000,"&lt;"&amp;DATE(2026,7,1))</f>
        <v>1</v>
      </c>
      <c r="G18" s="5">
        <f>COUNTIFS(BD_INICIATIVAS!$R$7:$R$1000,$A18,BD_INICIATIVAS!$Y$7:$Y$1000,"&gt;="&amp;DATE(2026,7,1),BD_INICIATIVAS!$Y$7:$Y$1000,"&lt;"&amp;DATE(2026,8,1))</f>
        <v>0</v>
      </c>
      <c r="H18" s="5">
        <f>COUNTIFS(BD_INICIATIVAS!$R$7:$R$1000,$A18,BD_INICIATIVAS!$Y$7:$Y$1000,"&gt;="&amp;DATE(2026,8,1),BD_INICIATIVAS!$Y$7:$Y$1000,"&lt;"&amp;DATE(2026,9,1))</f>
        <v>0</v>
      </c>
      <c r="I18" s="5">
        <f>COUNTIFS(BD_INICIATIVAS!$R$7:$R$1000,$A18,BD_INICIATIVAS!$Y$7:$Y$1000,"&gt;="&amp;DATE(2026,9,1),BD_INICIATIVAS!$Y$7:$Y$1000,"&lt;"&amp;DATE(2026,10,1))</f>
        <v>0</v>
      </c>
      <c r="J18" s="5">
        <f>COUNTIFS(BD_INICIATIVAS!$R$7:$R$1000,$A18,BD_INICIATIVAS!$Y$7:$Y$1000,"&gt;="&amp;DATE(2026,10,1),BD_INICIATIVAS!$Y$7:$Y$1000,"&lt;"&amp;DATE(2026,11,1))</f>
        <v>1</v>
      </c>
      <c r="K18" s="5">
        <f>COUNTIFS(BD_INICIATIVAS!$R$7:$R$1000,$A18,BD_INICIATIVAS!$Y$7:$Y$1000,"&gt;="&amp;DATE(2026,11,1),BD_INICIATIVAS!$Y$7:$Y$1000,"&lt;"&amp;DATE(2026,12,1))</f>
        <v>1</v>
      </c>
      <c r="L18" s="5">
        <f>COUNTIFS(BD_INICIATIVAS!$R$7:$R$1000,$A18,BD_INICIATIVAS!$Y$7:$Y$1000,"&gt;="&amp;DATE(2026,12,1),BD_INICIATIVAS!$Y$7:$Y$1000,"&lt;"&amp;DATE(2027,1,1))</f>
        <v>1</v>
      </c>
      <c r="M18" s="5">
        <f t="shared" si="0"/>
        <v>4</v>
      </c>
    </row>
    <row r="19" spans="1:13" ht="14.4" x14ac:dyDescent="0.3">
      <c r="A19" s="5" t="s">
        <v>806</v>
      </c>
      <c r="B19" s="5">
        <f>COUNTIFS(BD_INICIATIVAS!$R$7:$R$1000,$A19,BD_INICIATIVAS!$Y$7:$Y$1000,"&lt;"&amp;DATE(2026,3,1))</f>
        <v>0</v>
      </c>
      <c r="C19" s="5">
        <f>COUNTIFS(BD_INICIATIVAS!$R$7:$R$1000,$A19,BD_INICIATIVAS!$Y$7:$Y$1000,"&gt;="&amp;DATE(2026,3,1),BD_INICIATIVAS!$Y$7:$Y$1000,"&lt;"&amp;DATE(2026,4,1))</f>
        <v>0</v>
      </c>
      <c r="D19" s="5">
        <f>COUNTIFS(BD_INICIATIVAS!$R$7:$R$1000,$A19,BD_INICIATIVAS!$Y$7:$Y$1000,"&gt;="&amp;DATE(2026,4,1),BD_INICIATIVAS!$Y$7:$Y$1000,"&lt;"&amp;DATE(2026,5,1))</f>
        <v>0</v>
      </c>
      <c r="E19" s="5">
        <f>COUNTIFS(BD_INICIATIVAS!$R$7:$R$1000,$A19,BD_INICIATIVAS!$Y$7:$Y$1000,"&gt;="&amp;DATE(2026,5,1),BD_INICIATIVAS!$Y$7:$Y$1000,"&lt;"&amp;DATE(2026,6,1))</f>
        <v>1</v>
      </c>
      <c r="F19" s="5">
        <f>COUNTIFS(BD_INICIATIVAS!$R$7:$R$1000,$A19,BD_INICIATIVAS!$Y$7:$Y$1000,"&gt;="&amp;DATE(2026,6,1),BD_INICIATIVAS!$Y$7:$Y$1000,"&lt;"&amp;DATE(2026,7,1))</f>
        <v>0</v>
      </c>
      <c r="G19" s="5">
        <f>COUNTIFS(BD_INICIATIVAS!$R$7:$R$1000,$A19,BD_INICIATIVAS!$Y$7:$Y$1000,"&gt;="&amp;DATE(2026,7,1),BD_INICIATIVAS!$Y$7:$Y$1000,"&lt;"&amp;DATE(2026,8,1))</f>
        <v>0</v>
      </c>
      <c r="H19" s="5">
        <f>COUNTIFS(BD_INICIATIVAS!$R$7:$R$1000,$A19,BD_INICIATIVAS!$Y$7:$Y$1000,"&gt;="&amp;DATE(2026,8,1),BD_INICIATIVAS!$Y$7:$Y$1000,"&lt;"&amp;DATE(2026,9,1))</f>
        <v>0</v>
      </c>
      <c r="I19" s="5">
        <f>COUNTIFS(BD_INICIATIVAS!$R$7:$R$1000,$A19,BD_INICIATIVAS!$Y$7:$Y$1000,"&gt;="&amp;DATE(2026,9,1),BD_INICIATIVAS!$Y$7:$Y$1000,"&lt;"&amp;DATE(2026,10,1))</f>
        <v>0</v>
      </c>
      <c r="J19" s="5">
        <f>COUNTIFS(BD_INICIATIVAS!$R$7:$R$1000,$A19,BD_INICIATIVAS!$Y$7:$Y$1000,"&gt;="&amp;DATE(2026,10,1),BD_INICIATIVAS!$Y$7:$Y$1000,"&lt;"&amp;DATE(2026,11,1))</f>
        <v>1</v>
      </c>
      <c r="K19" s="5">
        <f>COUNTIFS(BD_INICIATIVAS!$R$7:$R$1000,$A19,BD_INICIATIVAS!$Y$7:$Y$1000,"&gt;="&amp;DATE(2026,11,1),BD_INICIATIVAS!$Y$7:$Y$1000,"&lt;"&amp;DATE(2026,12,1))</f>
        <v>1</v>
      </c>
      <c r="L19" s="5">
        <f>COUNTIFS(BD_INICIATIVAS!$R$7:$R$1000,$A19,BD_INICIATIVAS!$Y$7:$Y$1000,"&gt;="&amp;DATE(2026,12,1),BD_INICIATIVAS!$Y$7:$Y$1000,"&lt;"&amp;DATE(2027,1,1))</f>
        <v>1</v>
      </c>
      <c r="M19" s="5">
        <f t="shared" si="0"/>
        <v>4</v>
      </c>
    </row>
    <row r="20" spans="1:13" ht="14.4" x14ac:dyDescent="0.3">
      <c r="A20" s="5" t="s">
        <v>810</v>
      </c>
      <c r="B20" s="5">
        <f>COUNTIFS(BD_INICIATIVAS!$R$7:$R$1000,$A20,BD_INICIATIVAS!$Y$7:$Y$1000,"&lt;"&amp;DATE(2026,3,1))</f>
        <v>0</v>
      </c>
      <c r="C20" s="5">
        <f>COUNTIFS(BD_INICIATIVAS!$R$7:$R$1000,$A20,BD_INICIATIVAS!$Y$7:$Y$1000,"&gt;="&amp;DATE(2026,3,1),BD_INICIATIVAS!$Y$7:$Y$1000,"&lt;"&amp;DATE(2026,4,1))</f>
        <v>0</v>
      </c>
      <c r="D20" s="5">
        <f>COUNTIFS(BD_INICIATIVAS!$R$7:$R$1000,$A20,BD_INICIATIVAS!$Y$7:$Y$1000,"&gt;="&amp;DATE(2026,4,1),BD_INICIATIVAS!$Y$7:$Y$1000,"&lt;"&amp;DATE(2026,5,1))</f>
        <v>0</v>
      </c>
      <c r="E20" s="5">
        <f>COUNTIFS(BD_INICIATIVAS!$R$7:$R$1000,$A20,BD_INICIATIVAS!$Y$7:$Y$1000,"&gt;="&amp;DATE(2026,5,1),BD_INICIATIVAS!$Y$7:$Y$1000,"&lt;"&amp;DATE(2026,6,1))</f>
        <v>1</v>
      </c>
      <c r="F20" s="5">
        <f>COUNTIFS(BD_INICIATIVAS!$R$7:$R$1000,$A20,BD_INICIATIVAS!$Y$7:$Y$1000,"&gt;="&amp;DATE(2026,6,1),BD_INICIATIVAS!$Y$7:$Y$1000,"&lt;"&amp;DATE(2026,7,1))</f>
        <v>0</v>
      </c>
      <c r="G20" s="5">
        <f>COUNTIFS(BD_INICIATIVAS!$R$7:$R$1000,$A20,BD_INICIATIVAS!$Y$7:$Y$1000,"&gt;="&amp;DATE(2026,7,1),BD_INICIATIVAS!$Y$7:$Y$1000,"&lt;"&amp;DATE(2026,8,1))</f>
        <v>0</v>
      </c>
      <c r="H20" s="5">
        <f>COUNTIFS(BD_INICIATIVAS!$R$7:$R$1000,$A20,BD_INICIATIVAS!$Y$7:$Y$1000,"&gt;="&amp;DATE(2026,8,1),BD_INICIATIVAS!$Y$7:$Y$1000,"&lt;"&amp;DATE(2026,9,1))</f>
        <v>0</v>
      </c>
      <c r="I20" s="5">
        <f>COUNTIFS(BD_INICIATIVAS!$R$7:$R$1000,$A20,BD_INICIATIVAS!$Y$7:$Y$1000,"&gt;="&amp;DATE(2026,9,1),BD_INICIATIVAS!$Y$7:$Y$1000,"&lt;"&amp;DATE(2026,10,1))</f>
        <v>0</v>
      </c>
      <c r="J20" s="5">
        <f>COUNTIFS(BD_INICIATIVAS!$R$7:$R$1000,$A20,BD_INICIATIVAS!$Y$7:$Y$1000,"&gt;="&amp;DATE(2026,10,1),BD_INICIATIVAS!$Y$7:$Y$1000,"&lt;"&amp;DATE(2026,11,1))</f>
        <v>1</v>
      </c>
      <c r="K20" s="5">
        <f>COUNTIFS(BD_INICIATIVAS!$R$7:$R$1000,$A20,BD_INICIATIVAS!$Y$7:$Y$1000,"&gt;="&amp;DATE(2026,11,1),BD_INICIATIVAS!$Y$7:$Y$1000,"&lt;"&amp;DATE(2026,12,1))</f>
        <v>1</v>
      </c>
      <c r="L20" s="5">
        <f>COUNTIFS(BD_INICIATIVAS!$R$7:$R$1000,$A20,BD_INICIATIVAS!$Y$7:$Y$1000,"&gt;="&amp;DATE(2026,12,1),BD_INICIATIVAS!$Y$7:$Y$1000,"&lt;"&amp;DATE(2027,1,1))</f>
        <v>1</v>
      </c>
      <c r="M20" s="5">
        <f t="shared" si="0"/>
        <v>4</v>
      </c>
    </row>
    <row r="21" spans="1:13" ht="15.75" customHeight="1" x14ac:dyDescent="0.3">
      <c r="A21" s="5" t="s">
        <v>811</v>
      </c>
      <c r="B21" s="5">
        <f>COUNTIFS(BD_INICIATIVAS!$R$7:$R$1000,$A21,BD_INICIATIVAS!$Y$7:$Y$1000,"&lt;"&amp;DATE(2026,3,1))</f>
        <v>0</v>
      </c>
      <c r="C21" s="5">
        <f>COUNTIFS(BD_INICIATIVAS!$R$7:$R$1000,$A21,BD_INICIATIVAS!$Y$7:$Y$1000,"&gt;="&amp;DATE(2026,3,1),BD_INICIATIVAS!$Y$7:$Y$1000,"&lt;"&amp;DATE(2026,4,1))</f>
        <v>0</v>
      </c>
      <c r="D21" s="5">
        <f>COUNTIFS(BD_INICIATIVAS!$R$7:$R$1000,$A21,BD_INICIATIVAS!$Y$7:$Y$1000,"&gt;="&amp;DATE(2026,4,1),BD_INICIATIVAS!$Y$7:$Y$1000,"&lt;"&amp;DATE(2026,5,1))</f>
        <v>0</v>
      </c>
      <c r="E21" s="5">
        <f>COUNTIFS(BD_INICIATIVAS!$R$7:$R$1000,$A21,BD_INICIATIVAS!$Y$7:$Y$1000,"&gt;="&amp;DATE(2026,5,1),BD_INICIATIVAS!$Y$7:$Y$1000,"&lt;"&amp;DATE(2026,6,1))</f>
        <v>0</v>
      </c>
      <c r="F21" s="5">
        <f>COUNTIFS(BD_INICIATIVAS!$R$7:$R$1000,$A21,BD_INICIATIVAS!$Y$7:$Y$1000,"&gt;="&amp;DATE(2026,6,1),BD_INICIATIVAS!$Y$7:$Y$1000,"&lt;"&amp;DATE(2026,7,1))</f>
        <v>0</v>
      </c>
      <c r="G21" s="5">
        <f>COUNTIFS(BD_INICIATIVAS!$R$7:$R$1000,$A21,BD_INICIATIVAS!$Y$7:$Y$1000,"&gt;="&amp;DATE(2026,7,1),BD_INICIATIVAS!$Y$7:$Y$1000,"&lt;"&amp;DATE(2026,8,1))</f>
        <v>0</v>
      </c>
      <c r="H21" s="5">
        <f>COUNTIFS(BD_INICIATIVAS!$R$7:$R$1000,$A21,BD_INICIATIVAS!$Y$7:$Y$1000,"&gt;="&amp;DATE(2026,8,1),BD_INICIATIVAS!$Y$7:$Y$1000,"&lt;"&amp;DATE(2026,9,1))</f>
        <v>1</v>
      </c>
      <c r="I21" s="5">
        <f>COUNTIFS(BD_INICIATIVAS!$R$7:$R$1000,$A21,BD_INICIATIVAS!$Y$7:$Y$1000,"&gt;="&amp;DATE(2026,9,1),BD_INICIATIVAS!$Y$7:$Y$1000,"&lt;"&amp;DATE(2026,10,1))</f>
        <v>0</v>
      </c>
      <c r="J21" s="5">
        <f>COUNTIFS(BD_INICIATIVAS!$R$7:$R$1000,$A21,BD_INICIATIVAS!$Y$7:$Y$1000,"&gt;="&amp;DATE(2026,10,1),BD_INICIATIVAS!$Y$7:$Y$1000,"&lt;"&amp;DATE(2026,11,1))</f>
        <v>0</v>
      </c>
      <c r="K21" s="5">
        <f>COUNTIFS(BD_INICIATIVAS!$R$7:$R$1000,$A21,BD_INICIATIVAS!$Y$7:$Y$1000,"&gt;="&amp;DATE(2026,11,1),BD_INICIATIVAS!$Y$7:$Y$1000,"&lt;"&amp;DATE(2026,12,1))</f>
        <v>0</v>
      </c>
      <c r="L21" s="5">
        <f>COUNTIFS(BD_INICIATIVAS!$R$7:$R$1000,$A21,BD_INICIATIVAS!$Y$7:$Y$1000,"&gt;="&amp;DATE(2026,12,1),BD_INICIATIVAS!$Y$7:$Y$1000,"&lt;"&amp;DATE(2027,1,1))</f>
        <v>0</v>
      </c>
      <c r="M21" s="5">
        <f t="shared" si="0"/>
        <v>1</v>
      </c>
    </row>
    <row r="22" spans="1:13" ht="15.75" customHeight="1" x14ac:dyDescent="0.3">
      <c r="A22" s="15" t="s">
        <v>276</v>
      </c>
      <c r="B22" s="15">
        <f t="shared" ref="B22:M22" si="1">SUM(B5:B21)</f>
        <v>0</v>
      </c>
      <c r="C22" s="15">
        <f t="shared" si="1"/>
        <v>28</v>
      </c>
      <c r="D22" s="15">
        <f t="shared" si="1"/>
        <v>2</v>
      </c>
      <c r="E22" s="15">
        <f t="shared" si="1"/>
        <v>19</v>
      </c>
      <c r="F22" s="15">
        <f t="shared" si="1"/>
        <v>30</v>
      </c>
      <c r="G22" s="15">
        <f t="shared" si="1"/>
        <v>3</v>
      </c>
      <c r="H22" s="15">
        <f t="shared" si="1"/>
        <v>47</v>
      </c>
      <c r="I22" s="15">
        <f t="shared" si="1"/>
        <v>15</v>
      </c>
      <c r="J22" s="15">
        <f t="shared" si="1"/>
        <v>43</v>
      </c>
      <c r="K22" s="15">
        <f t="shared" si="1"/>
        <v>47</v>
      </c>
      <c r="L22" s="15">
        <f t="shared" si="1"/>
        <v>20</v>
      </c>
      <c r="M22" s="15">
        <f t="shared" si="1"/>
        <v>254</v>
      </c>
    </row>
    <row r="23" spans="1:13" ht="15.75" customHeight="1" x14ac:dyDescent="0.3"/>
    <row r="24" spans="1:13" ht="15.75" customHeight="1" x14ac:dyDescent="0.3"/>
    <row r="25" spans="1:13" ht="15.75" customHeight="1" x14ac:dyDescent="0.3"/>
    <row r="26" spans="1:13" ht="15.75" customHeight="1" x14ac:dyDescent="0.3"/>
    <row r="27" spans="1:13" ht="15.75" customHeight="1" x14ac:dyDescent="0.3"/>
    <row r="28" spans="1:13" ht="15.75" customHeight="1" x14ac:dyDescent="0.3"/>
    <row r="29" spans="1:13" ht="15.75" customHeight="1" x14ac:dyDescent="0.3"/>
    <row r="30" spans="1:13" ht="15.75" customHeight="1" x14ac:dyDescent="0.3"/>
    <row r="31" spans="1:13" ht="15.75" customHeight="1" x14ac:dyDescent="0.3"/>
    <row r="32" spans="1: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4:M22" xr:uid="{00000000-0009-0000-0000-00000F000000}"/>
  <mergeCells count="1">
    <mergeCell ref="B3:M3"/>
  </mergeCells>
  <pageMargins left="0.75" right="0.75" top="1" bottom="1" header="0" footer="0"/>
  <pageSetup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22" customWidth="1"/>
    <col min="2" max="2" width="30" customWidth="1"/>
    <col min="3" max="3" width="18" customWidth="1"/>
    <col min="4" max="26" width="8.6640625" customWidth="1"/>
  </cols>
  <sheetData>
    <row r="1" spans="1:3" ht="30" customHeight="1" x14ac:dyDescent="0.3">
      <c r="A1" s="1" t="s">
        <v>792</v>
      </c>
      <c r="B1" s="1" t="s">
        <v>253</v>
      </c>
      <c r="C1" s="1" t="s">
        <v>794</v>
      </c>
    </row>
    <row r="2" spans="1:3" ht="14.4" x14ac:dyDescent="0.3">
      <c r="A2" s="5" t="s">
        <v>478</v>
      </c>
      <c r="B2" s="5" t="s">
        <v>471</v>
      </c>
      <c r="C2" s="5" t="s">
        <v>259</v>
      </c>
    </row>
    <row r="3" spans="1:3" ht="14.4" x14ac:dyDescent="0.3">
      <c r="A3" s="5" t="s">
        <v>514</v>
      </c>
      <c r="B3" s="5" t="s">
        <v>493</v>
      </c>
      <c r="C3" s="5" t="s">
        <v>260</v>
      </c>
    </row>
    <row r="4" spans="1:3" ht="14.4" x14ac:dyDescent="0.3">
      <c r="A4" s="5" t="s">
        <v>531</v>
      </c>
      <c r="B4" s="5" t="s">
        <v>510</v>
      </c>
      <c r="C4" s="5" t="s">
        <v>262</v>
      </c>
    </row>
    <row r="5" spans="1:3" ht="14.4" x14ac:dyDescent="0.3">
      <c r="A5" s="5" t="s">
        <v>711</v>
      </c>
      <c r="B5" s="5" t="s">
        <v>527</v>
      </c>
      <c r="C5" s="5" t="s">
        <v>263</v>
      </c>
    </row>
    <row r="6" spans="1:3" ht="14.4" x14ac:dyDescent="0.3">
      <c r="B6" s="5" t="s">
        <v>538</v>
      </c>
      <c r="C6" s="5" t="s">
        <v>264</v>
      </c>
    </row>
    <row r="7" spans="1:3" ht="14.4" x14ac:dyDescent="0.3">
      <c r="B7" s="5" t="s">
        <v>559</v>
      </c>
      <c r="C7" s="5" t="s">
        <v>265</v>
      </c>
    </row>
    <row r="8" spans="1:3" ht="14.4" x14ac:dyDescent="0.3">
      <c r="B8" s="5" t="s">
        <v>588</v>
      </c>
      <c r="C8" s="5" t="s">
        <v>266</v>
      </c>
    </row>
    <row r="9" spans="1:3" ht="14.4" x14ac:dyDescent="0.3">
      <c r="B9" s="5" t="s">
        <v>649</v>
      </c>
      <c r="C9" s="5" t="s">
        <v>268</v>
      </c>
    </row>
    <row r="10" spans="1:3" ht="14.4" x14ac:dyDescent="0.3">
      <c r="B10" s="5" t="s">
        <v>664</v>
      </c>
      <c r="C10" s="5" t="s">
        <v>270</v>
      </c>
    </row>
    <row r="11" spans="1:3" ht="14.4" x14ac:dyDescent="0.3">
      <c r="B11" s="5" t="s">
        <v>684</v>
      </c>
      <c r="C11" s="5" t="s">
        <v>271</v>
      </c>
    </row>
    <row r="12" spans="1:3" ht="14.4" x14ac:dyDescent="0.3">
      <c r="B12" s="5" t="s">
        <v>726</v>
      </c>
      <c r="C12" s="5" t="s">
        <v>273</v>
      </c>
    </row>
    <row r="13" spans="1:3" ht="14.4" x14ac:dyDescent="0.3">
      <c r="B13" s="5" t="s">
        <v>774</v>
      </c>
    </row>
    <row r="14" spans="1:3" ht="14.4" x14ac:dyDescent="0.3">
      <c r="B14" s="5" t="s">
        <v>803</v>
      </c>
    </row>
    <row r="15" spans="1:3" ht="14.4" x14ac:dyDescent="0.3">
      <c r="B15" s="5" t="s">
        <v>804</v>
      </c>
    </row>
    <row r="16" spans="1:3" ht="14.4" x14ac:dyDescent="0.3">
      <c r="B16" s="5" t="s">
        <v>806</v>
      </c>
    </row>
    <row r="17" spans="2:2" ht="14.4" x14ac:dyDescent="0.3">
      <c r="B17" s="5" t="s">
        <v>810</v>
      </c>
    </row>
    <row r="18" spans="2:2" ht="14.4" x14ac:dyDescent="0.3">
      <c r="B18" s="5" t="s">
        <v>811</v>
      </c>
    </row>
    <row r="21" spans="2:2" ht="15.75" customHeight="1" x14ac:dyDescent="0.3"/>
    <row r="22" spans="2:2" ht="15.75" customHeight="1" x14ac:dyDescent="0.3"/>
    <row r="23" spans="2:2" ht="15.75" customHeight="1" x14ac:dyDescent="0.3"/>
    <row r="24" spans="2:2" ht="15.75" customHeight="1" x14ac:dyDescent="0.3"/>
    <row r="25" spans="2:2" ht="15.75" customHeight="1" x14ac:dyDescent="0.3"/>
    <row r="26" spans="2:2" ht="15.75" customHeight="1" x14ac:dyDescent="0.3"/>
    <row r="27" spans="2:2" ht="15.75" customHeight="1" x14ac:dyDescent="0.3"/>
    <row r="28" spans="2:2" ht="15.75" customHeight="1" x14ac:dyDescent="0.3"/>
    <row r="29" spans="2:2" ht="15.75" customHeight="1" x14ac:dyDescent="0.3"/>
    <row r="30" spans="2:2" ht="15.75" customHeight="1" x14ac:dyDescent="0.3"/>
    <row r="31" spans="2:2" ht="15.75" customHeight="1" x14ac:dyDescent="0.3"/>
    <row r="32" spans="2: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28" customWidth="1"/>
    <col min="2" max="4" width="18" customWidth="1"/>
    <col min="5" max="14" width="12" customWidth="1"/>
    <col min="15" max="15" width="14" customWidth="1"/>
    <col min="16" max="26" width="8.6640625" customWidth="1"/>
  </cols>
  <sheetData>
    <row r="1" spans="1:15" ht="14.4" x14ac:dyDescent="0.3">
      <c r="A1" s="12" t="s">
        <v>173</v>
      </c>
      <c r="B1" s="12" t="s">
        <v>924</v>
      </c>
      <c r="C1" s="12" t="s">
        <v>927</v>
      </c>
      <c r="D1" s="12" t="s">
        <v>928</v>
      </c>
      <c r="E1" s="12" t="s">
        <v>933</v>
      </c>
      <c r="F1" s="12" t="s">
        <v>937</v>
      </c>
      <c r="G1" s="12" t="s">
        <v>939</v>
      </c>
      <c r="H1" s="12" t="s">
        <v>940</v>
      </c>
      <c r="I1" s="12" t="s">
        <v>944</v>
      </c>
      <c r="J1" s="12" t="s">
        <v>948</v>
      </c>
      <c r="K1" s="12" t="s">
        <v>950</v>
      </c>
      <c r="L1" s="12" t="s">
        <v>951</v>
      </c>
      <c r="M1" s="12" t="s">
        <v>952</v>
      </c>
      <c r="N1" s="12" t="s">
        <v>953</v>
      </c>
      <c r="O1" s="12" t="s">
        <v>954</v>
      </c>
    </row>
    <row r="2" spans="1:15" ht="14.4" x14ac:dyDescent="0.3">
      <c r="A2" s="14" t="s">
        <v>471</v>
      </c>
      <c r="D2" s="14">
        <v>0</v>
      </c>
      <c r="E2" s="14">
        <v>1</v>
      </c>
      <c r="F2" s="14">
        <v>0</v>
      </c>
      <c r="G2" s="14">
        <v>1</v>
      </c>
      <c r="H2" s="14">
        <v>1</v>
      </c>
      <c r="I2" s="14">
        <v>0</v>
      </c>
      <c r="J2" s="14">
        <v>3</v>
      </c>
      <c r="K2" s="14">
        <v>3</v>
      </c>
      <c r="L2" s="14">
        <v>1</v>
      </c>
      <c r="M2" s="14">
        <v>2</v>
      </c>
      <c r="N2" s="14">
        <v>1</v>
      </c>
      <c r="O2" s="14">
        <v>13</v>
      </c>
    </row>
    <row r="3" spans="1:15" ht="14.4" x14ac:dyDescent="0.3">
      <c r="A3" s="14" t="s">
        <v>493</v>
      </c>
      <c r="D3" s="14">
        <v>0</v>
      </c>
      <c r="E3" s="14">
        <v>2</v>
      </c>
      <c r="F3" s="14">
        <v>0</v>
      </c>
      <c r="G3" s="14">
        <v>2</v>
      </c>
      <c r="H3" s="14">
        <v>1</v>
      </c>
      <c r="I3" s="14">
        <v>0</v>
      </c>
      <c r="J3" s="14">
        <v>2</v>
      </c>
      <c r="K3" s="14">
        <v>0</v>
      </c>
      <c r="L3" s="14">
        <v>3</v>
      </c>
      <c r="M3" s="14">
        <v>3</v>
      </c>
      <c r="N3" s="14">
        <v>1</v>
      </c>
      <c r="O3" s="14">
        <v>14</v>
      </c>
    </row>
    <row r="4" spans="1:15" ht="14.4" x14ac:dyDescent="0.3">
      <c r="A4" s="14" t="s">
        <v>510</v>
      </c>
      <c r="D4" s="14">
        <v>0</v>
      </c>
      <c r="E4" s="14">
        <v>1</v>
      </c>
      <c r="F4" s="14">
        <v>0</v>
      </c>
      <c r="G4" s="14">
        <v>1</v>
      </c>
      <c r="H4" s="14">
        <v>2</v>
      </c>
      <c r="I4" s="14">
        <v>0</v>
      </c>
      <c r="J4" s="14">
        <v>3</v>
      </c>
      <c r="K4" s="14">
        <v>1</v>
      </c>
      <c r="L4" s="14">
        <v>1</v>
      </c>
      <c r="M4" s="14">
        <v>2</v>
      </c>
      <c r="N4" s="14">
        <v>1</v>
      </c>
      <c r="O4" s="14">
        <v>12</v>
      </c>
    </row>
    <row r="5" spans="1:15" ht="14.4" x14ac:dyDescent="0.3">
      <c r="A5" s="14" t="s">
        <v>527</v>
      </c>
      <c r="D5" s="14">
        <v>0</v>
      </c>
      <c r="E5" s="14">
        <v>2</v>
      </c>
      <c r="F5" s="14">
        <v>0</v>
      </c>
      <c r="G5" s="14">
        <v>0</v>
      </c>
      <c r="H5" s="14">
        <v>1</v>
      </c>
      <c r="I5" s="14">
        <v>0</v>
      </c>
      <c r="J5" s="14">
        <v>1</v>
      </c>
      <c r="K5" s="14">
        <v>2</v>
      </c>
      <c r="L5" s="14">
        <v>2</v>
      </c>
      <c r="M5" s="14">
        <v>4</v>
      </c>
      <c r="N5" s="14">
        <v>1</v>
      </c>
      <c r="O5" s="14">
        <v>13</v>
      </c>
    </row>
    <row r="6" spans="1:15" ht="14.4" x14ac:dyDescent="0.3">
      <c r="A6" s="14" t="s">
        <v>538</v>
      </c>
      <c r="D6" s="14">
        <v>0</v>
      </c>
      <c r="E6" s="14">
        <v>1</v>
      </c>
      <c r="F6" s="14">
        <v>0</v>
      </c>
      <c r="G6" s="14">
        <v>1</v>
      </c>
      <c r="H6" s="14">
        <v>3</v>
      </c>
      <c r="I6" s="14">
        <v>0</v>
      </c>
      <c r="J6" s="14">
        <v>2</v>
      </c>
      <c r="K6" s="14">
        <v>0</v>
      </c>
      <c r="L6" s="14">
        <v>1</v>
      </c>
      <c r="M6" s="14">
        <v>2</v>
      </c>
      <c r="N6" s="14">
        <v>1</v>
      </c>
      <c r="O6" s="14">
        <v>11</v>
      </c>
    </row>
    <row r="7" spans="1:15" ht="14.4" x14ac:dyDescent="0.3">
      <c r="A7" s="14" t="s">
        <v>559</v>
      </c>
      <c r="D7" s="14">
        <v>0</v>
      </c>
      <c r="E7" s="14">
        <v>7</v>
      </c>
      <c r="F7" s="14">
        <v>1</v>
      </c>
      <c r="G7" s="14">
        <v>6</v>
      </c>
      <c r="H7" s="14">
        <v>5</v>
      </c>
      <c r="I7" s="14">
        <v>3</v>
      </c>
      <c r="J7" s="14">
        <v>12</v>
      </c>
      <c r="K7" s="14">
        <v>5</v>
      </c>
      <c r="L7" s="14">
        <v>10</v>
      </c>
      <c r="M7" s="14">
        <v>10</v>
      </c>
      <c r="N7" s="14">
        <v>4</v>
      </c>
      <c r="O7" s="14">
        <v>63</v>
      </c>
    </row>
    <row r="8" spans="1:15" ht="14.4" x14ac:dyDescent="0.3">
      <c r="A8" s="14" t="s">
        <v>588</v>
      </c>
      <c r="D8" s="14">
        <v>0</v>
      </c>
      <c r="E8" s="14">
        <v>3</v>
      </c>
      <c r="F8" s="14">
        <v>0</v>
      </c>
      <c r="G8" s="14">
        <v>0</v>
      </c>
      <c r="H8" s="14">
        <v>1</v>
      </c>
      <c r="I8" s="14">
        <v>0</v>
      </c>
      <c r="J8" s="14">
        <v>3</v>
      </c>
      <c r="K8" s="14">
        <v>1</v>
      </c>
      <c r="L8" s="14">
        <v>1</v>
      </c>
      <c r="M8" s="14">
        <v>2</v>
      </c>
      <c r="N8" s="14">
        <v>1</v>
      </c>
      <c r="O8" s="14">
        <v>12</v>
      </c>
    </row>
    <row r="9" spans="1:15" ht="14.4" x14ac:dyDescent="0.3">
      <c r="A9" s="14" t="s">
        <v>649</v>
      </c>
      <c r="D9" s="14">
        <v>0</v>
      </c>
      <c r="E9" s="14">
        <v>5</v>
      </c>
      <c r="F9" s="14">
        <v>1</v>
      </c>
      <c r="G9" s="14">
        <v>0</v>
      </c>
      <c r="H9" s="14">
        <v>1</v>
      </c>
      <c r="I9" s="14">
        <v>0</v>
      </c>
      <c r="J9" s="14">
        <v>2</v>
      </c>
      <c r="K9" s="14">
        <v>0</v>
      </c>
      <c r="L9" s="14">
        <v>2</v>
      </c>
      <c r="M9" s="14">
        <v>2</v>
      </c>
      <c r="N9" s="14">
        <v>1</v>
      </c>
      <c r="O9" s="14">
        <v>14</v>
      </c>
    </row>
    <row r="10" spans="1:15" ht="14.4" x14ac:dyDescent="0.3">
      <c r="A10" s="14" t="s">
        <v>664</v>
      </c>
      <c r="D10" s="14">
        <v>0</v>
      </c>
      <c r="E10" s="14">
        <v>0</v>
      </c>
      <c r="F10" s="14">
        <v>0</v>
      </c>
      <c r="G10" s="14">
        <v>2</v>
      </c>
      <c r="H10" s="14">
        <v>2</v>
      </c>
      <c r="I10" s="14">
        <v>0</v>
      </c>
      <c r="J10" s="14">
        <v>2</v>
      </c>
      <c r="K10" s="14">
        <v>1</v>
      </c>
      <c r="L10" s="14">
        <v>2</v>
      </c>
      <c r="M10" s="14">
        <v>2</v>
      </c>
      <c r="N10" s="14">
        <v>1</v>
      </c>
      <c r="O10" s="14">
        <v>12</v>
      </c>
    </row>
    <row r="11" spans="1:15" ht="14.4" x14ac:dyDescent="0.3">
      <c r="A11" s="14" t="s">
        <v>684</v>
      </c>
      <c r="D11" s="14">
        <v>0</v>
      </c>
      <c r="E11" s="14">
        <v>3</v>
      </c>
      <c r="F11" s="14">
        <v>0</v>
      </c>
      <c r="G11" s="14">
        <v>1</v>
      </c>
      <c r="H11" s="14">
        <v>2</v>
      </c>
      <c r="I11" s="14">
        <v>0</v>
      </c>
      <c r="J11" s="14">
        <v>4</v>
      </c>
      <c r="K11" s="14">
        <v>1</v>
      </c>
      <c r="L11" s="14">
        <v>2</v>
      </c>
      <c r="M11" s="14">
        <v>4</v>
      </c>
      <c r="N11" s="14">
        <v>1</v>
      </c>
      <c r="O11" s="14">
        <v>18</v>
      </c>
    </row>
    <row r="12" spans="1:15" ht="14.4" x14ac:dyDescent="0.3">
      <c r="A12" s="14" t="s">
        <v>726</v>
      </c>
      <c r="D12" s="14">
        <v>0</v>
      </c>
      <c r="E12" s="14">
        <v>3</v>
      </c>
      <c r="F12" s="14">
        <v>0</v>
      </c>
      <c r="G12" s="14">
        <v>1</v>
      </c>
      <c r="H12" s="14">
        <v>3</v>
      </c>
      <c r="I12" s="14">
        <v>0</v>
      </c>
      <c r="J12" s="14">
        <v>1</v>
      </c>
      <c r="K12" s="14">
        <v>1</v>
      </c>
      <c r="L12" s="14">
        <v>1</v>
      </c>
      <c r="M12" s="14">
        <v>3</v>
      </c>
      <c r="N12" s="14">
        <v>1</v>
      </c>
      <c r="O12" s="14">
        <v>14</v>
      </c>
    </row>
    <row r="13" spans="1:15" ht="14.4" x14ac:dyDescent="0.3">
      <c r="A13" s="14" t="s">
        <v>774</v>
      </c>
      <c r="D13" s="14">
        <v>0</v>
      </c>
      <c r="E13" s="14">
        <v>0</v>
      </c>
      <c r="F13" s="14">
        <v>0</v>
      </c>
      <c r="G13" s="14">
        <v>1</v>
      </c>
      <c r="H13" s="14">
        <v>7</v>
      </c>
      <c r="I13" s="14">
        <v>0</v>
      </c>
      <c r="J13" s="14">
        <v>11</v>
      </c>
      <c r="K13" s="14">
        <v>0</v>
      </c>
      <c r="L13" s="14">
        <v>11</v>
      </c>
      <c r="M13" s="14">
        <v>8</v>
      </c>
      <c r="N13" s="14">
        <v>3</v>
      </c>
      <c r="O13" s="14">
        <v>41</v>
      </c>
    </row>
    <row r="14" spans="1:15" ht="14.4" x14ac:dyDescent="0.3">
      <c r="A14" s="14" t="s">
        <v>803</v>
      </c>
      <c r="D14" s="14">
        <v>0</v>
      </c>
      <c r="E14" s="14">
        <v>0</v>
      </c>
      <c r="F14" s="14">
        <v>0</v>
      </c>
      <c r="G14" s="14">
        <v>1</v>
      </c>
      <c r="H14" s="14">
        <v>0</v>
      </c>
      <c r="I14" s="14">
        <v>0</v>
      </c>
      <c r="J14" s="14">
        <v>0</v>
      </c>
      <c r="K14" s="14">
        <v>0</v>
      </c>
      <c r="L14" s="14">
        <v>3</v>
      </c>
      <c r="M14" s="14">
        <v>0</v>
      </c>
      <c r="N14" s="14">
        <v>0</v>
      </c>
      <c r="O14" s="14">
        <v>4</v>
      </c>
    </row>
    <row r="15" spans="1:15" ht="14.4" x14ac:dyDescent="0.3">
      <c r="A15" s="14" t="s">
        <v>804</v>
      </c>
      <c r="D15" s="14">
        <v>0</v>
      </c>
      <c r="E15" s="14">
        <v>0</v>
      </c>
      <c r="F15" s="14">
        <v>0</v>
      </c>
      <c r="G15" s="14">
        <v>0</v>
      </c>
      <c r="H15" s="14">
        <v>1</v>
      </c>
      <c r="I15" s="14">
        <v>0</v>
      </c>
      <c r="J15" s="14">
        <v>0</v>
      </c>
      <c r="K15" s="14">
        <v>0</v>
      </c>
      <c r="L15" s="14">
        <v>1</v>
      </c>
      <c r="M15" s="14">
        <v>1</v>
      </c>
      <c r="N15" s="14">
        <v>1</v>
      </c>
      <c r="O15" s="14">
        <v>4</v>
      </c>
    </row>
    <row r="16" spans="1:15" ht="14.4" x14ac:dyDescent="0.3">
      <c r="A16" s="14" t="s">
        <v>806</v>
      </c>
      <c r="D16" s="14">
        <v>0</v>
      </c>
      <c r="E16" s="14">
        <v>0</v>
      </c>
      <c r="F16" s="14">
        <v>0</v>
      </c>
      <c r="G16" s="14">
        <v>1</v>
      </c>
      <c r="H16" s="14">
        <v>0</v>
      </c>
      <c r="I16" s="14">
        <v>0</v>
      </c>
      <c r="J16" s="14">
        <v>0</v>
      </c>
      <c r="K16" s="14">
        <v>0</v>
      </c>
      <c r="L16" s="14">
        <v>1</v>
      </c>
      <c r="M16" s="14">
        <v>1</v>
      </c>
      <c r="N16" s="14">
        <v>1</v>
      </c>
      <c r="O16" s="14">
        <v>4</v>
      </c>
    </row>
    <row r="17" spans="1:15" ht="14.4" x14ac:dyDescent="0.3">
      <c r="A17" s="14" t="s">
        <v>810</v>
      </c>
      <c r="D17" s="14">
        <v>0</v>
      </c>
      <c r="E17" s="14">
        <v>0</v>
      </c>
      <c r="F17" s="14">
        <v>0</v>
      </c>
      <c r="G17" s="14">
        <v>1</v>
      </c>
      <c r="H17" s="14">
        <v>0</v>
      </c>
      <c r="I17" s="14">
        <v>0</v>
      </c>
      <c r="J17" s="14">
        <v>0</v>
      </c>
      <c r="K17" s="14">
        <v>0</v>
      </c>
      <c r="L17" s="14">
        <v>1</v>
      </c>
      <c r="M17" s="14">
        <v>1</v>
      </c>
      <c r="N17" s="14">
        <v>1</v>
      </c>
      <c r="O17" s="14">
        <v>4</v>
      </c>
    </row>
    <row r="18" spans="1:15" ht="14.4" x14ac:dyDescent="0.3">
      <c r="A18" s="14" t="s">
        <v>811</v>
      </c>
      <c r="D18" s="14">
        <v>0</v>
      </c>
      <c r="E18" s="14">
        <v>0</v>
      </c>
      <c r="F18" s="14">
        <v>0</v>
      </c>
      <c r="G18" s="14">
        <v>0</v>
      </c>
      <c r="H18" s="14">
        <v>0</v>
      </c>
      <c r="I18" s="14">
        <v>0</v>
      </c>
      <c r="J18" s="14">
        <v>1</v>
      </c>
      <c r="K18" s="14">
        <v>0</v>
      </c>
      <c r="L18" s="14">
        <v>0</v>
      </c>
      <c r="M18" s="14">
        <v>0</v>
      </c>
      <c r="N18" s="14">
        <v>0</v>
      </c>
      <c r="O18" s="14">
        <v>1</v>
      </c>
    </row>
    <row r="21" spans="1:15" ht="15.75" customHeight="1" x14ac:dyDescent="0.3"/>
    <row r="22" spans="1:15" ht="15.75" customHeight="1" x14ac:dyDescent="0.3"/>
    <row r="23" spans="1:15" ht="15.75" customHeight="1" x14ac:dyDescent="0.3"/>
    <row r="24" spans="1:15" ht="15.75" customHeight="1" x14ac:dyDescent="0.3"/>
    <row r="25" spans="1:15" ht="15.75" customHeight="1" x14ac:dyDescent="0.3"/>
    <row r="26" spans="1:15" ht="15.75" customHeight="1" x14ac:dyDescent="0.3"/>
    <row r="27" spans="1:15" ht="15.75" customHeight="1" x14ac:dyDescent="0.3"/>
    <row r="28" spans="1:15" ht="15.75" customHeight="1" x14ac:dyDescent="0.3"/>
    <row r="29" spans="1:15" ht="15.75" customHeight="1" x14ac:dyDescent="0.3"/>
    <row r="30" spans="1:15" ht="15.75" customHeight="1" x14ac:dyDescent="0.3"/>
    <row r="31" spans="1:15" ht="15.75" customHeight="1" x14ac:dyDescent="0.3"/>
    <row r="32" spans="1: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ustomSheetViews>
    <customSheetView guid="{07A57095-44EB-4FB3-B79A-316DA63E12D7}" filter="1" showAutoFilter="1">
      <pageMargins left="0.7" right="0.7" top="0.75" bottom="0.75" header="0.3" footer="0.3"/>
      <autoFilter ref="A1:O18" xr:uid="{3233B801-2645-47C8-8BFC-76CFD2A052B6}"/>
      <extLst>
        <ext uri="GoogleSheetsCustomDataVersion1">
          <go:sheetsCustomData xmlns:go="http://customooxmlschemas.google.com/" filterViewId="711959148"/>
        </ext>
      </extLst>
    </customSheetView>
  </customSheetViews>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GUIA</vt:lpstr>
      <vt:lpstr>CONFIG_HTML</vt:lpstr>
      <vt:lpstr>ENCABEZADOS</vt:lpstr>
      <vt:lpstr>CONFIG_DASHBOARD</vt:lpstr>
      <vt:lpstr>KPIs_HTML</vt:lpstr>
      <vt:lpstr>LIMPIEZA_COBERTURA</vt:lpstr>
      <vt:lpstr>LIMPIEZA_PRESUPUESTO</vt:lpstr>
      <vt:lpstr>AULA911_CAMPUS</vt:lpstr>
      <vt:lpstr>AULA911_TOP</vt:lpstr>
      <vt:lpstr>RONDAS</vt:lpstr>
      <vt:lpstr>PROYECTOS</vt:lpstr>
      <vt:lpstr>PROYECTO_DETALLE</vt:lpstr>
      <vt:lpstr>IMPLEMENTACIONES</vt:lpstr>
      <vt:lpstr>LISTO</vt:lpstr>
      <vt:lpstr>BD_INICIATIVAS</vt:lpstr>
      <vt:lpstr>TD</vt:lpstr>
      <vt:lpstr>LISTAS</vt:lpstr>
      <vt:lpstr>MEJORAS_PROGRAMACION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Celine Nicolle Dhara Rojas Cervantes</cp:lastModifiedBy>
  <dcterms:created xsi:type="dcterms:W3CDTF">2026-09-25T06:31:42Z</dcterms:created>
  <dcterms:modified xsi:type="dcterms:W3CDTF">2026-10-27T23:33:46Z</dcterms:modified>
</cp:coreProperties>
</file>